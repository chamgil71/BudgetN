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34-309" sheetId="1" state="visible" r:id="rId1"/>
    <sheet xmlns:r="http://schemas.openxmlformats.org/officeDocument/2006/relationships" name="1033-307" sheetId="2" state="visible" r:id="rId2"/>
    <sheet xmlns:r="http://schemas.openxmlformats.org/officeDocument/2006/relationships" name="1033-305" sheetId="3" state="visible" r:id="rId3"/>
    <sheet xmlns:r="http://schemas.openxmlformats.org/officeDocument/2006/relationships" name="1032-302" sheetId="4" state="visible" r:id="rId4"/>
    <sheet xmlns:r="http://schemas.openxmlformats.org/officeDocument/2006/relationships" name="1132-511" sheetId="5" state="visible" r:id="rId5"/>
  </sheets>
  <definedNames>
    <definedName name="_1134_309_department">'1134-309'!$A$1</definedName>
    <definedName name="_1134_309_code">'1134-309'!$D$1</definedName>
    <definedName name="_1134_309_project_name">'1134-309'!$A$2</definedName>
    <definedName name="_1134_309_account_type">'1134-309'!$B$4</definedName>
    <definedName name="_1134_309_field">'1134-309'!$D$4</definedName>
    <definedName name="_1134_309_sector">'1134-309'!$B$5</definedName>
    <definedName name="_1134_309_status">'1134-309'!$D$5</definedName>
    <definedName name="_1134_309_support_type">'1134-309'!$B$6</definedName>
    <definedName name="_1134_309_implementing_agency">'1134-309'!$D$6</definedName>
    <definedName name="_1134_309_is_rnd">'1134-309'!$B$7</definedName>
    <definedName name="_1134_309_is_informatization">'1134-309'!$D$7</definedName>
    <definedName name="_1134_309_subsidy_rate">'1134-309'!$B$8</definedName>
    <definedName name="_1134_309_loan_rate">'1134-309'!$D$8</definedName>
    <definedName name="_1134_309_program__name">'1134-309'!$B$9</definedName>
    <definedName name="_1134_309_unit_project__name">'1134-309'!$B$10</definedName>
    <definedName name="_1134_309_detail_project__name">'1134-309'!$B$11</definedName>
    <definedName name="_1134_309_budget__2024_settlement">'1134-309'!$A$14</definedName>
    <definedName name="_1134_309_budget__2025_original">'1134-309'!$B$14</definedName>
    <definedName name="_1134_309_budget__2026_budget">'1134-309'!$C$14</definedName>
    <definedName name="_1134_309_budget__2025_supplementary">'1134-309'!$B$15</definedName>
    <definedName name="_1134_309_budget__2026_request">'1134-309'!$B$16</definedName>
    <definedName name="_1134_309_project_period__start_year">'1134-309'!$B$19</definedName>
    <definedName name="_1134_309_project_period__end_year">'1134-309'!$D$19</definedName>
    <definedName name="_1134_309_project_period__raw">'1134-309'!$B$20</definedName>
    <definedName name="_1134_309_project_period__duration">'1134-309'!$D$20</definedName>
    <definedName name="_1134_309_total_cost__total">'1134-309'!$B$21</definedName>
    <definedName name="_1134_309_total_cost__government">'1134-309'!$D$21</definedName>
    <definedName name="_1134_309_ai_domains">'1134-309'!$B$23</definedName>
    <definedName name="_1134_309_keywords">'1134-309'!$B$24</definedName>
    <definedName name="_1134_309_effectiveness">'1134-309'!$A$59</definedName>
    <definedName name="_1134_309_purpose">'1134-309'!$A$61</definedName>
    <definedName name="_1134_309_description">'1134-309'!$A$63</definedName>
    <definedName name="_1033_307_department">'1033-307'!$A$1</definedName>
    <definedName name="_1033_307_code">'1033-307'!$D$1</definedName>
    <definedName name="_1033_307_project_name">'1033-307'!$A$2</definedName>
    <definedName name="_1033_307_account_type">'1033-307'!$B$4</definedName>
    <definedName name="_1033_307_field">'1033-307'!$D$4</definedName>
    <definedName name="_1033_307_sector">'1033-307'!$B$5</definedName>
    <definedName name="_1033_307_status">'1033-307'!$D$5</definedName>
    <definedName name="_1033_307_support_type">'1033-307'!$B$6</definedName>
    <definedName name="_1033_307_implementing_agency">'1033-307'!$D$6</definedName>
    <definedName name="_1033_307_is_rnd">'1033-307'!$B$7</definedName>
    <definedName name="_1033_307_is_informatization">'1033-307'!$D$7</definedName>
    <definedName name="_1033_307_subsidy_rate">'1033-307'!$B$8</definedName>
    <definedName name="_1033_307_loan_rate">'1033-307'!$D$8</definedName>
    <definedName name="_1033_307_program__name">'1033-307'!$B$9</definedName>
    <definedName name="_1033_307_unit_project__name">'1033-307'!$B$10</definedName>
    <definedName name="_1033_307_detail_project__name">'1033-307'!$B$11</definedName>
    <definedName name="_1033_307_budget__2024_settlement">'1033-307'!$A$18</definedName>
    <definedName name="_1033_307_budget__2025_original">'1033-307'!$B$18</definedName>
    <definedName name="_1033_307_budget__2026_budget">'1033-307'!$C$18</definedName>
    <definedName name="_1033_307_budget__2025_supplementary">'1033-307'!$B$19</definedName>
    <definedName name="_1033_307_budget__2026_request">'1033-307'!$B$20</definedName>
    <definedName name="_1033_307_project_period__start_year">'1033-307'!$B$22</definedName>
    <definedName name="_1033_307_project_period__end_year">'1033-307'!$D$22</definedName>
    <definedName name="_1033_307_project_period__raw">'1033-307'!$B$23</definedName>
    <definedName name="_1033_307_project_period__duration">'1033-307'!$D$23</definedName>
    <definedName name="_1033_307_total_cost__total">'1033-307'!$B$24</definedName>
    <definedName name="_1033_307_total_cost__government">'1033-307'!$D$24</definedName>
    <definedName name="_1033_307_ai_domains">'1033-307'!$B$26</definedName>
    <definedName name="_1033_307_rnd_stage">'1033-307'!$B$27</definedName>
    <definedName name="_1033_307_keywords">'1033-307'!$B$28</definedName>
    <definedName name="_1033_307_effectiveness">'1033-307'!$A$40</definedName>
    <definedName name="_1033_307_purpose">'1033-307'!$A$42</definedName>
    <definedName name="_1033_307_description">'1033-307'!$A$44</definedName>
    <definedName name="_1033_305_department">'1033-305'!$A$1</definedName>
    <definedName name="_1033_305_code">'1033-305'!$D$1</definedName>
    <definedName name="_1033_305_project_name">'1033-305'!$A$2</definedName>
    <definedName name="_1033_305_account_type">'1033-305'!$B$4</definedName>
    <definedName name="_1033_305_field">'1033-305'!$D$4</definedName>
    <definedName name="_1033_305_sector">'1033-305'!$B$5</definedName>
    <definedName name="_1033_305_status">'1033-305'!$D$5</definedName>
    <definedName name="_1033_305_support_type">'1033-305'!$B$6</definedName>
    <definedName name="_1033_305_implementing_agency">'1033-305'!$D$6</definedName>
    <definedName name="_1033_305_is_rnd">'1033-305'!$B$7</definedName>
    <definedName name="_1033_305_is_informatization">'1033-305'!$D$7</definedName>
    <definedName name="_1033_305_subsidy_rate">'1033-305'!$B$8</definedName>
    <definedName name="_1033_305_loan_rate">'1033-305'!$D$8</definedName>
    <definedName name="_1033_305_program__name">'1033-305'!$B$9</definedName>
    <definedName name="_1033_305_unit_project__name">'1033-305'!$B$10</definedName>
    <definedName name="_1033_305_detail_project__name">'1033-305'!$B$11</definedName>
    <definedName name="_1033_305_budget__2024_settlement">'1033-305'!$A$18</definedName>
    <definedName name="_1033_305_budget__2025_original">'1033-305'!$B$18</definedName>
    <definedName name="_1033_305_budget__2026_budget">'1033-305'!$C$18</definedName>
    <definedName name="_1033_305_budget__2025_supplementary">'1033-305'!$B$19</definedName>
    <definedName name="_1033_305_budget__2026_request">'1033-305'!$B$20</definedName>
    <definedName name="_1033_305_project_period__start_year">'1033-305'!$B$23</definedName>
    <definedName name="_1033_305_project_period__end_year">'1033-305'!$D$23</definedName>
    <definedName name="_1033_305_project_period__raw">'1033-305'!$B$24</definedName>
    <definedName name="_1033_305_project_period__duration">'1033-305'!$D$24</definedName>
    <definedName name="_1033_305_total_cost__total">'1033-305'!$B$25</definedName>
    <definedName name="_1033_305_total_cost__government">'1033-305'!$D$25</definedName>
    <definedName name="_1033_305_ai_domains">'1033-305'!$B$27</definedName>
    <definedName name="_1033_305_rnd_stage">'1033-305'!$B$28</definedName>
    <definedName name="_1033_305_keywords">'1033-305'!$B$29</definedName>
    <definedName name="_1033_305_effectiveness">'1033-305'!$A$39</definedName>
    <definedName name="_1033_305_purpose">'1033-305'!$A$41</definedName>
    <definedName name="_1033_305_description">'1033-305'!$A$43</definedName>
    <definedName name="_1032_302_department">'1032-302'!$A$1</definedName>
    <definedName name="_1032_302_code">'1032-302'!$D$1</definedName>
    <definedName name="_1032_302_project_name">'1032-302'!$A$2</definedName>
    <definedName name="_1032_302_account_type">'1032-302'!$B$4</definedName>
    <definedName name="_1032_302_field">'1032-302'!$D$4</definedName>
    <definedName name="_1032_302_sector">'1032-302'!$B$5</definedName>
    <definedName name="_1032_302_status">'1032-302'!$D$5</definedName>
    <definedName name="_1032_302_support_type">'1032-302'!$B$6</definedName>
    <definedName name="_1032_302_implementing_agency">'1032-302'!$D$6</definedName>
    <definedName name="_1032_302_is_rnd">'1032-302'!$B$7</definedName>
    <definedName name="_1032_302_is_informatization">'1032-302'!$D$7</definedName>
    <definedName name="_1032_302_subsidy_rate">'1032-302'!$B$8</definedName>
    <definedName name="_1032_302_loan_rate">'1032-302'!$D$8</definedName>
    <definedName name="_1032_302_program__name">'1032-302'!$B$9</definedName>
    <definedName name="_1032_302_unit_project__name">'1032-302'!$B$10</definedName>
    <definedName name="_1032_302_detail_project__name">'1032-302'!$B$11</definedName>
    <definedName name="_1032_302_budget__2024_settlement">'1032-302'!$A$18</definedName>
    <definedName name="_1032_302_budget__2025_original">'1032-302'!$B$18</definedName>
    <definedName name="_1032_302_budget__2026_budget">'1032-302'!$C$18</definedName>
    <definedName name="_1032_302_budget__2025_supplementary">'1032-302'!$B$19</definedName>
    <definedName name="_1032_302_budget__2026_request">'1032-302'!$B$20</definedName>
    <definedName name="_1032_302_project_period__start_year">'1032-302'!$B$23</definedName>
    <definedName name="_1032_302_project_period__end_year">'1032-302'!$D$23</definedName>
    <definedName name="_1032_302_project_period__raw">'1032-302'!$B$24</definedName>
    <definedName name="_1032_302_project_period__duration">'1032-302'!$D$24</definedName>
    <definedName name="_1032_302_total_cost__total">'1032-302'!$B$25</definedName>
    <definedName name="_1032_302_total_cost__government">'1032-302'!$D$25</definedName>
    <definedName name="_1032_302_ai_domains">'1032-302'!$B$27</definedName>
    <definedName name="_1032_302_keywords">'1032-302'!$B$28</definedName>
    <definedName name="_1032_302_effectiveness">'1032-302'!$A$51</definedName>
    <definedName name="_1032_302_purpose">'1032-302'!$A$53</definedName>
    <definedName name="_1032_302_description">'1032-302'!$A$55</definedName>
    <definedName name="_1132_511_department">'1132-511'!$A$1</definedName>
    <definedName name="_1132_511_code">'1132-511'!$D$1</definedName>
    <definedName name="_1132_511_project_name">'1132-511'!$A$2</definedName>
    <definedName name="_1132_511_account_type">'1132-511'!$B$4</definedName>
    <definedName name="_1132_511_field">'1132-511'!$D$4</definedName>
    <definedName name="_1132_511_sector">'1132-511'!$B$5</definedName>
    <definedName name="_1132_511_status">'1132-511'!$D$5</definedName>
    <definedName name="_1132_511_support_type">'1132-511'!$B$6</definedName>
    <definedName name="_1132_511_implementing_agency">'1132-511'!$D$6</definedName>
    <definedName name="_1132_511_is_rnd">'1132-511'!$B$7</definedName>
    <definedName name="_1132_511_is_informatization">'1132-511'!$D$7</definedName>
    <definedName name="_1132_511_subsidy_rate">'1132-511'!$B$8</definedName>
    <definedName name="_1132_511_loan_rate">'1132-511'!$D$8</definedName>
    <definedName name="_1132_511_program__name">'1132-511'!$B$9</definedName>
    <definedName name="_1132_511_unit_project__name">'1132-511'!$B$10</definedName>
    <definedName name="_1132_511_detail_project__name">'1132-511'!$B$11</definedName>
    <definedName name="_1132_511_budget__2024_settlement">'1132-511'!$A$18</definedName>
    <definedName name="_1132_511_budget__2025_original">'1132-511'!$B$18</definedName>
    <definedName name="_1132_511_budget__2026_budget">'1132-511'!$C$18</definedName>
    <definedName name="_1132_511_budget__2025_supplementary">'1132-511'!$B$19</definedName>
    <definedName name="_1132_511_budget__2026_request">'1132-511'!$B$20</definedName>
    <definedName name="_1132_511_project_period__start_year">'1132-511'!$B$23</definedName>
    <definedName name="_1132_511_project_period__end_year">'1132-511'!$D$23</definedName>
    <definedName name="_1132_511_project_period__raw">'1132-511'!$B$24</definedName>
    <definedName name="_1132_511_project_period__duration">'1132-511'!$D$24</definedName>
    <definedName name="_1132_511_total_cost__total">'1132-511'!$B$25</definedName>
    <definedName name="_1132_511_total_cost__government">'1132-511'!$D$25</definedName>
    <definedName name="_1132_511_ai_domains">'1132-511'!$B$27</definedName>
    <definedName name="_1132_511_keywords">'1132-511'!$B$28</definedName>
    <definedName name="_1132_511_effectiveness">'1132-511'!$A$46</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13">
    <font>
      <name val="Calibri"/>
      <family val="2"/>
      <color theme="1"/>
      <sz val="11"/>
      <scheme val="minor"/>
    </font>
    <font>
      <name val="맑은 고딕"/>
      <b val="1"/>
      <color rgb="00FFFFFF"/>
      <sz val="10"/>
    </font>
    <font>
      <name val="맑은 고딕"/>
      <color rgb="00FFFFFF"/>
      <sz val="9"/>
    </font>
    <font>
      <name val="맑은 고딕"/>
      <b val="1"/>
      <color rgb="00FFFFFF"/>
      <sz val="13"/>
    </font>
    <font>
      <name val="맑은 고딕"/>
      <b val="1"/>
      <color rgb="001F3864"/>
      <sz val="9"/>
    </font>
    <font>
      <name val="맑은 고딕"/>
      <b val="1"/>
      <color rgb="002E74B5"/>
      <sz val="8"/>
    </font>
    <font>
      <name val="맑은 고딕"/>
      <sz val="9"/>
    </font>
    <font>
      <name val="맑은 고딕"/>
      <b val="1"/>
      <color rgb="00FFFFFF"/>
      <sz val="8"/>
    </font>
    <font>
      <name val="맑은 고딕"/>
      <i val="1"/>
      <color rgb="00555555"/>
      <sz val="9"/>
    </font>
    <font>
      <name val="맑은 고딕"/>
      <color rgb="00555555"/>
      <sz val="8"/>
    </font>
    <font>
      <name val="맑은 고딕"/>
      <sz val="8"/>
    </font>
    <font>
      <name val="맑은 고딕"/>
      <b val="1"/>
      <sz val="8"/>
    </font>
    <font>
      <name val="맑은 고딕"/>
      <i val="1"/>
      <color rgb="00AAAAAA"/>
      <sz val="7"/>
    </font>
  </fonts>
  <fills count="10">
    <fill>
      <patternFill/>
    </fill>
    <fill>
      <patternFill patternType="gray125"/>
    </fill>
    <fill>
      <patternFill patternType="solid">
        <fgColor rgb="001F3864"/>
      </patternFill>
    </fill>
    <fill>
      <patternFill patternType="solid">
        <fgColor rgb="00D6E4F0"/>
      </patternFill>
    </fill>
    <fill>
      <patternFill patternType="solid">
        <fgColor rgb="00EEF4FB"/>
      </patternFill>
    </fill>
    <fill>
      <patternFill patternType="solid">
        <fgColor rgb="00FFFFFF"/>
      </patternFill>
    </fill>
    <fill>
      <patternFill patternType="solid">
        <fgColor rgb="002E74B5"/>
      </patternFill>
    </fill>
    <fill>
      <patternFill patternType="solid">
        <fgColor rgb="00FFF8E1"/>
      </patternFill>
    </fill>
    <fill>
      <patternFill patternType="solid">
        <fgColor rgb="00F5F5F5"/>
      </patternFill>
    </fill>
    <fill>
      <patternFill patternType="solid">
        <fgColor rgb="00F2F7FF"/>
      </patternFill>
    </fill>
  </fills>
  <borders count="7">
    <border>
      <left/>
      <right/>
      <top/>
      <bottom/>
      <diagonal/>
    </border>
    <border>
      <top style="medium">
        <color rgb="002E74B5"/>
      </top>
      <bottom style="medium">
        <color rgb="002E74B5"/>
      </bottom>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right" vertical="center" indent="1"/>
    </xf>
    <xf numFmtId="0" fontId="3" fillId="2" borderId="0" applyAlignment="1" pivotButton="0" quotePrefix="0" xfId="0">
      <alignment horizontal="left" vertical="center" indent="1"/>
    </xf>
    <xf numFmtId="0" fontId="4" fillId="3" borderId="1" applyAlignment="1" pivotButton="0" quotePrefix="0" xfId="0">
      <alignment horizontal="left" vertical="center" indent="1"/>
    </xf>
    <xf numFmtId="0" fontId="5" fillId="4" borderId="2" applyAlignment="1" pivotButton="0" quotePrefix="0" xfId="0">
      <alignment horizontal="right" vertical="center"/>
    </xf>
    <xf numFmtId="0" fontId="6" fillId="5" borderId="2" applyAlignment="1" pivotButton="0" quotePrefix="0" xfId="0">
      <alignment horizontal="left" vertical="center"/>
    </xf>
    <xf numFmtId="0" fontId="0" fillId="5" borderId="2" pivotButton="0" quotePrefix="0" xfId="0"/>
    <xf numFmtId="0" fontId="6" fillId="5" borderId="2" applyAlignment="1" pivotButton="0" quotePrefix="0" xfId="0">
      <alignment vertical="center"/>
    </xf>
    <xf numFmtId="0" fontId="0" fillId="0" borderId="5" pivotButton="0" quotePrefix="0" xfId="0"/>
    <xf numFmtId="0" fontId="0" fillId="0" borderId="6" pivotButton="0" quotePrefix="0" xfId="0"/>
    <xf numFmtId="0" fontId="7" fillId="6" borderId="2" applyAlignment="1" pivotButton="0" quotePrefix="0" xfId="0">
      <alignment horizontal="center" vertical="center"/>
    </xf>
    <xf numFmtId="3" fontId="6" fillId="5" borderId="2" applyAlignment="1" pivotButton="0" quotePrefix="0" xfId="0">
      <alignment horizontal="right" vertical="center"/>
    </xf>
    <xf numFmtId="3" fontId="6" fillId="7" borderId="2" applyAlignment="1" pivotButton="0" quotePrefix="0" xfId="0">
      <alignment horizontal="right" vertical="center"/>
    </xf>
    <xf numFmtId="164" fontId="8" fillId="8" borderId="2" applyAlignment="1" pivotButton="0" quotePrefix="0" xfId="0">
      <alignment horizontal="right" vertical="center"/>
    </xf>
    <xf numFmtId="165" fontId="8" fillId="8" borderId="2" applyAlignment="1" pivotButton="0" quotePrefix="0" xfId="0">
      <alignment horizontal="right" vertical="center"/>
    </xf>
    <xf numFmtId="0" fontId="9" fillId="5" borderId="2" applyAlignment="1" pivotButton="0" quotePrefix="0" xfId="0">
      <alignment horizontal="left" vertical="center"/>
    </xf>
    <xf numFmtId="0" fontId="6" fillId="5" borderId="2" applyAlignment="1" pivotButton="0" quotePrefix="0" xfId="0">
      <alignment horizontal="left" vertical="top" wrapText="1"/>
    </xf>
    <xf numFmtId="0" fontId="6" fillId="9" borderId="2" applyAlignment="1" pivotButton="0" quotePrefix="0" xfId="0">
      <alignment vertical="center"/>
    </xf>
    <xf numFmtId="3" fontId="6" fillId="9" borderId="2" applyAlignment="1" pivotButton="0" quotePrefix="0" xfId="0">
      <alignment horizontal="right" vertical="center"/>
    </xf>
    <xf numFmtId="0" fontId="10" fillId="9" borderId="2" applyAlignment="1" pivotButton="0" quotePrefix="0" xfId="0">
      <alignment vertical="center"/>
    </xf>
    <xf numFmtId="0" fontId="10" fillId="5" borderId="2" applyAlignment="1" pivotButton="0" quotePrefix="0" xfId="0">
      <alignment vertical="center"/>
    </xf>
    <xf numFmtId="0" fontId="9" fillId="0" borderId="2" pivotButton="0" quotePrefix="0" xfId="0"/>
    <xf numFmtId="0" fontId="11" fillId="4" borderId="2" applyAlignment="1" pivotButton="0" quotePrefix="0" xfId="0">
      <alignment horizontal="center" vertical="center"/>
    </xf>
    <xf numFmtId="0" fontId="10" fillId="9" borderId="2" applyAlignment="1" pivotButton="0" quotePrefix="0" xfId="0">
      <alignment horizontal="center" vertical="top"/>
    </xf>
    <xf numFmtId="0" fontId="10" fillId="9" borderId="2" applyAlignment="1" pivotButton="0" quotePrefix="0" xfId="0">
      <alignment vertical="top" wrapText="1"/>
    </xf>
    <xf numFmtId="0" fontId="10" fillId="5" borderId="2" applyAlignment="1" pivotButton="0" quotePrefix="0" xfId="0">
      <alignment horizontal="center" vertical="top"/>
    </xf>
    <xf numFmtId="0" fontId="10" fillId="5" borderId="2" applyAlignment="1" pivotButton="0" quotePrefix="0" xfId="0">
      <alignment vertical="top" wrapText="1"/>
    </xf>
    <xf numFmtId="0" fontId="12" fillId="0" borderId="0" applyAlignment="1" pivotButton="0" quotePrefix="0" xfId="0">
      <alignment horizontal="right" vertical="center"/>
    </xf>
    <xf numFmtId="0" fontId="6" fillId="9" borderId="2" applyAlignment="1" pivotButton="0" quotePrefix="0" xfId="0">
      <alignment horizontal="right" vertical="center"/>
    </xf>
    <xf numFmtId="0" fontId="6" fillId="5"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6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감사원</t>
        </is>
      </c>
      <c r="D1" s="2" t="inlineStr">
        <is>
          <t>코드: 1134-309</t>
        </is>
      </c>
    </row>
    <row r="2" ht="26" customHeight="1">
      <c r="A2" s="3" t="inlineStr">
        <is>
          <t>전산운영경비(정보화)</t>
        </is>
      </c>
    </row>
    <row r="3" ht="16" customHeight="1">
      <c r="A3" s="4" t="inlineStr">
        <is>
          <t>■ 기본 정보</t>
        </is>
      </c>
    </row>
    <row r="4" ht="17" customHeight="1">
      <c r="A4" s="5" t="inlineStr">
        <is>
          <t>회계유형</t>
        </is>
      </c>
      <c r="B4" s="6" t="inlineStr">
        <is>
          <t>일반회계</t>
        </is>
      </c>
      <c r="C4" s="5" t="inlineStr">
        <is>
          <t>분야</t>
        </is>
      </c>
      <c r="D4" s="6" t="inlineStr">
        <is>
          <t>일반·지방행정</t>
        </is>
      </c>
      <c r="E4" s="7" t="n"/>
    </row>
    <row r="5" ht="17" customHeight="1">
      <c r="A5" s="5" t="inlineStr">
        <is>
          <t>부문</t>
        </is>
      </c>
      <c r="B5" s="6" t="inlineStr">
        <is>
          <t>일반행정</t>
        </is>
      </c>
      <c r="C5" s="5" t="inlineStr">
        <is>
          <t>상태</t>
        </is>
      </c>
      <c r="D5" s="6" t="inlineStr">
        <is>
          <t>신규</t>
        </is>
      </c>
      <c r="E5" s="7" t="n"/>
    </row>
    <row r="6" ht="17" customHeight="1">
      <c r="A6" s="5" t="inlineStr">
        <is>
          <t>지원유형</t>
        </is>
      </c>
      <c r="B6" s="6" t="inlineStr">
        <is>
          <t>직접</t>
        </is>
      </c>
      <c r="C6" s="5" t="inlineStr">
        <is>
          <t>시행기관</t>
        </is>
      </c>
      <c r="D6" s="6" t="inlineStr">
        <is>
          <t>감사원</t>
        </is>
      </c>
      <c r="E6" s="7" t="n"/>
    </row>
    <row r="7" ht="17" customHeight="1">
      <c r="A7" s="5" t="inlineStr">
        <is>
          <t>R&amp;D 여부</t>
        </is>
      </c>
      <c r="B7" s="6" t="inlineStr">
        <is>
          <t>X</t>
        </is>
      </c>
      <c r="C7" s="5" t="inlineStr">
        <is>
          <t>정보화</t>
        </is>
      </c>
      <c r="D7" s="6" t="inlineStr">
        <is>
          <t>O</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감사활동 및 행정지원</t>
        </is>
      </c>
      <c r="C9" s="9" t="n"/>
      <c r="D9" s="9" t="n"/>
      <c r="E9" s="10" t="n"/>
    </row>
    <row r="10" ht="17" customHeight="1">
      <c r="A10" s="5" t="inlineStr">
        <is>
          <t>단위사업</t>
        </is>
      </c>
      <c r="B10" s="8" t="inlineStr">
        <is>
          <t>[1134] 전산운영경비</t>
        </is>
      </c>
      <c r="C10" s="9" t="n"/>
      <c r="D10" s="9" t="n"/>
      <c r="E10" s="10" t="n"/>
    </row>
    <row r="11" ht="17" customHeight="1">
      <c r="A11" s="5" t="inlineStr">
        <is>
          <t>세부사업</t>
        </is>
      </c>
      <c r="B11" s="8" t="inlineStr">
        <is>
          <t>[309] 전산운영경비(정보화)</t>
        </is>
      </c>
      <c r="C11" s="9" t="n"/>
      <c r="D11" s="9" t="n"/>
      <c r="E11" s="10" t="n"/>
    </row>
    <row r="12" ht="16" customHeight="1">
      <c r="A12" s="4" t="inlineStr">
        <is>
          <t>■ 예산 현황 (단위: 백만원)  ┃  증감액·증감률 자동계산</t>
        </is>
      </c>
    </row>
    <row r="13" ht="17" customHeight="1">
      <c r="A13" s="11" t="inlineStr">
        <is>
          <t>2024 결산</t>
        </is>
      </c>
      <c r="B13" s="11" t="inlineStr">
        <is>
          <t>2025 본예산</t>
        </is>
      </c>
      <c r="C13" s="11" t="inlineStr">
        <is>
          <t>2026 확정</t>
        </is>
      </c>
      <c r="D13" s="11" t="inlineStr">
        <is>
          <t>증감액 ▶자동</t>
        </is>
      </c>
      <c r="E13" s="11" t="inlineStr">
        <is>
          <t>증감률(%) ▶자동</t>
        </is>
      </c>
    </row>
    <row r="14" ht="17" customHeight="1">
      <c r="A14" s="12" t="n">
        <v>12508</v>
      </c>
      <c r="B14" s="12" t="n">
        <v>16111</v>
      </c>
      <c r="C14" s="13" t="n">
        <v>10300</v>
      </c>
      <c r="D14" s="14">
        <f>IF(AND(C14&lt;&gt;"",B14&lt;&gt;""),C14-B14,"")</f>
        <v/>
      </c>
      <c r="E14" s="15">
        <f>IF(AND(C14&lt;&gt;"",B14&lt;&gt;"",B14&lt;&gt;0),(C14-B14)/B14*100,"")</f>
        <v/>
      </c>
    </row>
    <row r="15" ht="16" customHeight="1">
      <c r="A15" s="5" t="inlineStr">
        <is>
          <t>2025 추경</t>
        </is>
      </c>
      <c r="B15" s="12" t="n">
        <v>16111</v>
      </c>
      <c r="C15" s="9" t="n"/>
      <c r="D15" s="9" t="n"/>
      <c r="E15" s="10" t="n"/>
    </row>
    <row r="16" ht="16" customHeight="1">
      <c r="A16" s="5" t="inlineStr">
        <is>
          <t>2026 요구</t>
        </is>
      </c>
      <c r="B16" s="12" t="n">
        <v>14762</v>
      </c>
      <c r="C16" s="9" t="n"/>
      <c r="D16" s="9" t="n"/>
      <c r="E16" s="10" t="n"/>
    </row>
    <row r="17" ht="16" customHeight="1">
      <c r="A17" s="5" t="inlineStr">
        <is>
          <t>연도별 이력</t>
        </is>
      </c>
      <c r="B17" s="16" t="inlineStr">
        <is>
          <t>2022: 9,096  2023: 7,505  2024: 15,865  2025: 16,111  2026: 10,300</t>
        </is>
      </c>
      <c r="C17" s="9" t="n"/>
      <c r="D17" s="9" t="n"/>
      <c r="E17" s="10" t="n"/>
    </row>
    <row r="18" ht="16" customHeight="1">
      <c r="A18" s="4" t="inlineStr">
        <is>
          <t>■ 사업기간 및 총사업비</t>
        </is>
      </c>
    </row>
    <row r="19" ht="17" customHeight="1">
      <c r="A19" s="5" t="inlineStr">
        <is>
          <t>사업시작연도</t>
        </is>
      </c>
      <c r="B19" s="6" t="inlineStr"/>
      <c r="C19" s="5" t="inlineStr">
        <is>
          <t>사업종료연도</t>
        </is>
      </c>
      <c r="D19" s="6" t="inlineStr"/>
      <c r="E19" s="7" t="n"/>
    </row>
    <row r="20" ht="17" customHeight="1">
      <c r="A20" s="5" t="inlineStr">
        <is>
          <t>사업기간(원문)</t>
        </is>
      </c>
      <c r="B20" s="6" t="inlineStr"/>
      <c r="C20" s="5" t="inlineStr">
        <is>
          <t>사업기간(년)</t>
        </is>
      </c>
      <c r="D20" s="6" t="inlineStr"/>
      <c r="E20" s="7" t="n"/>
    </row>
    <row r="21" ht="17" customHeight="1">
      <c r="A21" s="5" t="inlineStr">
        <is>
          <t>총사업비</t>
        </is>
      </c>
      <c r="B21" s="6" t="inlineStr"/>
      <c r="C21" s="5" t="inlineStr">
        <is>
          <t>국고</t>
        </is>
      </c>
      <c r="D21" s="6" t="inlineStr"/>
      <c r="E21" s="7" t="n"/>
    </row>
    <row r="22" ht="16" customHeight="1">
      <c r="A22" s="4" t="inlineStr">
        <is>
          <t>■ AI 분류</t>
        </is>
      </c>
    </row>
    <row r="23" ht="17" customHeight="1">
      <c r="A23" s="5" t="inlineStr">
        <is>
          <t>AI 도메인</t>
        </is>
      </c>
      <c r="B23" s="17" t="inlineStr">
        <is>
          <t>보안/사이버, 통신/네트워크</t>
        </is>
      </c>
      <c r="C23" s="9" t="n"/>
      <c r="D23" s="9" t="n"/>
      <c r="E23" s="10" t="n"/>
    </row>
    <row r="24" ht="17" customHeight="1">
      <c r="A24" s="5" t="inlineStr">
        <is>
          <t>키워드</t>
        </is>
      </c>
      <c r="B24" s="17" t="inlineStr">
        <is>
          <t>전산운영경비</t>
        </is>
      </c>
      <c r="C24" s="9" t="n"/>
      <c r="D24" s="9" t="n"/>
      <c r="E24" s="10" t="n"/>
    </row>
    <row r="25" ht="16" customHeight="1">
      <c r="A25" s="4" t="inlineStr">
        <is>
          <t>■ 내역사업 (4건)  ┃  빈 행 없이 연속 입력</t>
        </is>
      </c>
    </row>
    <row r="26" ht="16" customHeight="1">
      <c r="A26" s="11" t="inlineStr">
        <is>
          <t>내역사업명</t>
        </is>
      </c>
      <c r="B26" s="10" t="n"/>
      <c r="C26" s="11" t="inlineStr">
        <is>
          <t>2025</t>
        </is>
      </c>
      <c r="D26" s="11" t="inlineStr">
        <is>
          <t>2026</t>
        </is>
      </c>
    </row>
    <row r="27" ht="17" customHeight="1">
      <c r="A27" s="18" t="inlineStr">
        <is>
          <t>감사자료분석시스템 구축ㆍ운영</t>
        </is>
      </c>
      <c r="B27" s="10" t="n"/>
      <c r="C27" s="19" t="n">
        <v>1811</v>
      </c>
      <c r="D27" s="19" t="n">
        <v>1781</v>
      </c>
      <c r="E27" s="19" t="n">
        <v>2086</v>
      </c>
    </row>
    <row r="28" ht="17" customHeight="1">
      <c r="A28" s="8" t="inlineStr">
        <is>
          <t>OASYS 구축ㆍ운영</t>
        </is>
      </c>
      <c r="B28" s="10" t="n"/>
      <c r="C28" s="12" t="n">
        <v>12822</v>
      </c>
      <c r="D28" s="12" t="n">
        <v>12854</v>
      </c>
      <c r="E28" s="12" t="n">
        <v>6504</v>
      </c>
    </row>
    <row r="29" ht="17" customHeight="1">
      <c r="A29" s="18" t="inlineStr">
        <is>
          <t>공공감사정보시스템 구축ㆍ운영</t>
        </is>
      </c>
      <c r="B29" s="10" t="n"/>
      <c r="C29" s="19" t="n">
        <v>296</v>
      </c>
      <c r="D29" s="19" t="n">
        <v>540</v>
      </c>
      <c r="E29" s="19" t="n">
        <v>647</v>
      </c>
    </row>
    <row r="30" ht="17" customHeight="1">
      <c r="A30" s="8" t="inlineStr">
        <is>
          <t>사이버보안센터 구축운영</t>
        </is>
      </c>
      <c r="B30" s="10" t="n"/>
      <c r="C30" s="12" t="n">
        <v>936</v>
      </c>
      <c r="D30" s="12" t="n">
        <v>936</v>
      </c>
      <c r="E30" s="12" t="n">
        <v>1063</v>
      </c>
    </row>
    <row r="31" ht="16" customHeight="1">
      <c r="A31" s="4" t="inlineStr">
        <is>
          <t>■ 사업관리자 (4건)</t>
        </is>
      </c>
    </row>
    <row r="32" ht="16" customHeight="1">
      <c r="A32" s="11" t="inlineStr">
        <is>
          <t>내역사업명</t>
        </is>
      </c>
      <c r="B32" s="11" t="inlineStr">
        <is>
          <t>소관부서</t>
        </is>
      </c>
      <c r="C32" s="11" t="inlineStr">
        <is>
          <t>시행기관</t>
        </is>
      </c>
      <c r="D32" s="11" t="inlineStr">
        <is>
          <t>담당자</t>
        </is>
      </c>
      <c r="E32" s="11" t="inlineStr">
        <is>
          <t>연락처</t>
        </is>
      </c>
    </row>
    <row r="33" ht="16" customHeight="1">
      <c r="A33" s="20" t="inlineStr">
        <is>
          <t>감사자료 분석시스템 구축ㆍ운영</t>
        </is>
      </c>
      <c r="B33" s="20" t="inlineStr">
        <is>
          <t>디지털감사국</t>
        </is>
      </c>
      <c r="C33" s="20" t="inlineStr">
        <is>
          <t>감사원</t>
        </is>
      </c>
      <c r="D33" s="20" t="inlineStr"/>
      <c r="E33" s="20" t="inlineStr"/>
    </row>
    <row r="34" ht="16" customHeight="1">
      <c r="A34" s="21" t="inlineStr">
        <is>
          <t>OASYS 구축ㆍ운영</t>
        </is>
      </c>
      <c r="B34" s="21" t="inlineStr">
        <is>
          <t>디지털감사국</t>
        </is>
      </c>
      <c r="C34" s="21" t="inlineStr">
        <is>
          <t>감사원</t>
        </is>
      </c>
      <c r="D34" s="21" t="inlineStr"/>
      <c r="E34" s="21" t="inlineStr"/>
    </row>
    <row r="35" ht="16" customHeight="1">
      <c r="A35" s="20" t="inlineStr">
        <is>
          <t>공공감사 정보시스템 구축ㆍ운영</t>
        </is>
      </c>
      <c r="B35" s="20" t="inlineStr">
        <is>
          <t>적극행정공공감사지원관</t>
        </is>
      </c>
      <c r="C35" s="20" t="inlineStr">
        <is>
          <t>감사원</t>
        </is>
      </c>
      <c r="D35" s="20" t="inlineStr"/>
      <c r="E35" s="20" t="inlineStr"/>
    </row>
    <row r="36" ht="16" customHeight="1">
      <c r="A36" s="21" t="inlineStr">
        <is>
          <t>사이버보안센터 구축ㆍ운영</t>
        </is>
      </c>
      <c r="B36" s="21" t="inlineStr">
        <is>
          <t>디지털감사국</t>
        </is>
      </c>
      <c r="C36" s="21" t="inlineStr">
        <is>
          <t>감사원</t>
        </is>
      </c>
      <c r="D36" s="21" t="inlineStr"/>
      <c r="E36" s="21" t="inlineStr"/>
    </row>
    <row r="37" ht="16" customHeight="1">
      <c r="A37" s="4" t="inlineStr">
        <is>
          <t>■ 성과지표 (2건)</t>
        </is>
      </c>
    </row>
    <row r="38" ht="17" customHeight="1">
      <c r="A38" s="5" t="inlineStr">
        <is>
          <t>지표명</t>
        </is>
      </c>
      <c r="B38" s="6" t="inlineStr">
        <is>
          <t>①감사활동의 경제적 성과(억원)</t>
        </is>
      </c>
      <c r="C38" s="9" t="n"/>
      <c r="D38" s="10" t="n"/>
      <c r="E38" s="22" t="inlineStr">
        <is>
          <t>가중치:0.5</t>
        </is>
      </c>
    </row>
    <row r="39" ht="15" customHeight="1">
      <c r="A39" s="5" t="inlineStr">
        <is>
          <t>연도</t>
        </is>
      </c>
      <c r="B39" s="23" t="inlineStr">
        <is>
          <t>2020</t>
        </is>
      </c>
      <c r="C39" s="23" t="inlineStr">
        <is>
          <t>2021</t>
        </is>
      </c>
      <c r="D39" s="23" t="inlineStr">
        <is>
          <t>2022</t>
        </is>
      </c>
      <c r="E39" s="23" t="inlineStr">
        <is>
          <t>2023</t>
        </is>
      </c>
    </row>
    <row r="40" ht="15" customHeight="1">
      <c r="A40" s="5" t="inlineStr">
        <is>
          <t>목표</t>
        </is>
      </c>
      <c r="B40" s="6" t="inlineStr">
        <is>
          <t>신규</t>
        </is>
      </c>
      <c r="C40" s="6" t="inlineStr">
        <is>
          <t>29,786</t>
        </is>
      </c>
      <c r="D40" s="6" t="inlineStr">
        <is>
          <t>31,500</t>
        </is>
      </c>
      <c r="E40" s="6" t="inlineStr">
        <is>
          <t>32,000</t>
        </is>
      </c>
    </row>
    <row r="41" ht="15" customHeight="1">
      <c r="A41" s="5" t="inlineStr">
        <is>
          <t>실적</t>
        </is>
      </c>
      <c r="B41" s="6" t="inlineStr">
        <is>
          <t>22,044</t>
        </is>
      </c>
      <c r="C41" s="6" t="inlineStr">
        <is>
          <t>21,018</t>
        </is>
      </c>
      <c r="D41" s="6" t="inlineStr">
        <is>
          <t>33,904</t>
        </is>
      </c>
      <c r="E41" s="6" t="inlineStr">
        <is>
          <t>23,402</t>
        </is>
      </c>
    </row>
    <row r="42" ht="15" customHeight="1">
      <c r="A42" s="5" t="inlineStr">
        <is>
          <t>측정방법</t>
        </is>
      </c>
      <c r="B42" s="17" t="inlineStr">
        <is>
          <t>변상판정, 추징･회수･보전, 환급･추급 금액 및 기대효과 금액</t>
        </is>
      </c>
      <c r="C42" s="9" t="n"/>
      <c r="D42" s="9" t="n"/>
      <c r="E42" s="10" t="n"/>
    </row>
    <row r="43" ht="17" customHeight="1">
      <c r="A43" s="5" t="inlineStr">
        <is>
          <t>지표명</t>
        </is>
      </c>
      <c r="B43" s="6" t="inlineStr">
        <is>
          <t>②공직비리 적발 실적(점)</t>
        </is>
      </c>
      <c r="C43" s="9" t="n"/>
      <c r="D43" s="10" t="n"/>
      <c r="E43" s="22" t="inlineStr">
        <is>
          <t>가중치:0.5</t>
        </is>
      </c>
    </row>
    <row r="44" ht="15" customHeight="1">
      <c r="A44" s="5" t="inlineStr">
        <is>
          <t>연도</t>
        </is>
      </c>
      <c r="B44" s="23" t="inlineStr">
        <is>
          <t>2020</t>
        </is>
      </c>
      <c r="C44" s="23" t="inlineStr">
        <is>
          <t>2021</t>
        </is>
      </c>
      <c r="D44" s="23" t="inlineStr">
        <is>
          <t>2022</t>
        </is>
      </c>
      <c r="E44" s="23" t="inlineStr">
        <is>
          <t>2023</t>
        </is>
      </c>
    </row>
    <row r="45" ht="15" customHeight="1">
      <c r="A45" s="5" t="inlineStr">
        <is>
          <t>목표</t>
        </is>
      </c>
      <c r="B45" s="6" t="inlineStr">
        <is>
          <t>신규</t>
        </is>
      </c>
      <c r="C45" s="6" t="inlineStr">
        <is>
          <t>639</t>
        </is>
      </c>
      <c r="D45" s="6" t="inlineStr">
        <is>
          <t>650</t>
        </is>
      </c>
      <c r="E45" s="6" t="inlineStr">
        <is>
          <t>750</t>
        </is>
      </c>
    </row>
    <row r="46" ht="15" customHeight="1">
      <c r="A46" s="5" t="inlineStr">
        <is>
          <t>실적</t>
        </is>
      </c>
      <c r="B46" s="6" t="inlineStr">
        <is>
          <t>592</t>
        </is>
      </c>
      <c r="C46" s="6" t="inlineStr">
        <is>
          <t>977</t>
        </is>
      </c>
      <c r="D46" s="6" t="inlineStr">
        <is>
          <t>892</t>
        </is>
      </c>
      <c r="E46" s="6" t="inlineStr">
        <is>
          <t>1,449</t>
        </is>
      </c>
    </row>
    <row r="47" ht="15" customHeight="1">
      <c r="A47" s="5" t="inlineStr">
        <is>
          <t>측정방법</t>
        </is>
      </c>
      <c r="B47" s="17" t="inlineStr">
        <is>
          <t>∑(신분상·형사상 조치인원수 ×가중치)</t>
        </is>
      </c>
      <c r="C47" s="9" t="n"/>
      <c r="D47" s="9" t="n"/>
      <c r="E47" s="10" t="n"/>
    </row>
    <row r="48" ht="16" customHeight="1">
      <c r="A48" s="4" t="inlineStr">
        <is>
          <t>■ 사업연혁 (8건)</t>
        </is>
      </c>
    </row>
    <row r="49" ht="15" customHeight="1">
      <c r="A49" s="11" t="inlineStr">
        <is>
          <t>연도</t>
        </is>
      </c>
      <c r="B49" s="11" t="inlineStr">
        <is>
          <t>주요 내용</t>
        </is>
      </c>
      <c r="C49" s="9" t="n"/>
      <c r="D49" s="9" t="n"/>
      <c r="E49" s="10" t="n"/>
    </row>
    <row r="50" ht="16" customHeight="1">
      <c r="A50" s="24" t="n">
        <v>2022</v>
      </c>
      <c r="B50" s="25" t="inlineStr">
        <is>
          <t>- 차세대 공공감사정보시스템 구축 추진</t>
        </is>
      </c>
      <c r="C50" s="9" t="n"/>
      <c r="D50" s="9" t="n"/>
      <c r="E50" s="10" t="n"/>
    </row>
    <row r="51" ht="26" customHeight="1">
      <c r="A51" s="26" t="n">
        <v>2023</v>
      </c>
      <c r="B51" s="27" t="inlineStr">
        <is>
          <t>- 차세대 OASYS 구축을 위한 정보화전략계획(ISP) 수립 - 차세대 OASYS 구축사업 추진 기본계획 수립 - 차세대 공공감사정보시스템 구축</t>
        </is>
      </c>
      <c r="C51" s="9" t="n"/>
      <c r="D51" s="9" t="n"/>
      <c r="E51" s="10" t="n"/>
    </row>
    <row r="52" ht="16" customHeight="1">
      <c r="A52" s="24" t="n">
        <v>2024</v>
      </c>
      <c r="B52" s="25" t="inlineStr">
        <is>
          <t>- 차세대 OASYS 구축(1단계) 추진</t>
        </is>
      </c>
      <c r="C52" s="9" t="n"/>
      <c r="D52" s="9" t="n"/>
      <c r="E52" s="10" t="n"/>
    </row>
    <row r="53" ht="16" customHeight="1">
      <c r="A53" s="26" t="n">
        <v>2025</v>
      </c>
      <c r="B53" s="27" t="inlineStr">
        <is>
          <t>- 차세대 OASYS 구축(2단계) 추진</t>
        </is>
      </c>
      <c r="C53" s="9" t="n"/>
      <c r="D53" s="9" t="n"/>
      <c r="E53" s="10" t="n"/>
    </row>
    <row r="54" ht="39" customHeight="1">
      <c r="A54" s="24" t="n">
        <v>2022</v>
      </c>
      <c r="B54" s="25" t="inlineStr">
        <is>
          <t>○ 이월 사유: ‘차세대 OASYS 구축 및 전산센터 구축을 위한 ISP 용역’, ‘공공 감사정보시스템 재구축 사업’ 계약기간 미도래 사유로 1,480백만원 사고이월 ○ 불용 사유: 낙찰차액 및 예산절감 등에 따른 집행잔액 발생</t>
        </is>
      </c>
      <c r="C54" s="9" t="n"/>
      <c r="D54" s="9" t="n"/>
      <c r="E54" s="10" t="n"/>
    </row>
    <row r="55" ht="26" customHeight="1">
      <c r="A55" s="26" t="n">
        <v>2023</v>
      </c>
      <c r="B55" s="27" t="inlineStr">
        <is>
          <t>○ 이월 사유: ‘공공감사정보시스템 재구축 사업’ 계약기간 미도래로 55백만원 사고이월 ○ 불용 사유: 낙찰차액 및 예산절감 등에 따른 집행잔액</t>
        </is>
      </c>
      <c r="C55" s="9" t="n"/>
      <c r="D55" s="9" t="n"/>
      <c r="E55" s="10" t="n"/>
    </row>
    <row r="56" ht="26" customHeight="1">
      <c r="A56" s="24" t="n">
        <v>2024</v>
      </c>
      <c r="B56" s="25" t="inlineStr">
        <is>
          <t>○ 이월 사유: ‘차세대 OASYS 구축을 위한 감사원 네트워크 고도화 및 정보 보안 인프라 구축사업’ 등의 계약기간 미도래로 2,424백만원 사고이월 ○ 불용 사유: 자산취득비 등 낙찰차액 발생</t>
        </is>
      </c>
      <c r="C56" s="9" t="n"/>
      <c r="D56" s="9" t="n"/>
      <c r="E56" s="10" t="n"/>
    </row>
    <row r="57" ht="26" customHeight="1">
      <c r="A57" s="26" t="n">
        <v>2025</v>
      </c>
      <c r="B57" s="27" t="inlineStr">
        <is>
          <t>○ 이월 사유: ‘차세대 OASYS 구축 사업’ 등의 계약기간 미도래로 3,594백만원 사고이월 ○ 불용 사유: 자산취득비 등 낙찰차액 발생</t>
        </is>
      </c>
      <c r="C57" s="9" t="n"/>
      <c r="D57" s="9" t="n"/>
      <c r="E57" s="10" t="n"/>
    </row>
    <row r="58" ht="16" customHeight="1">
      <c r="A58" s="4" t="inlineStr">
        <is>
          <t>■ 효과성</t>
        </is>
      </c>
    </row>
    <row r="59" ht="156" customHeight="1">
      <c r="A59" s="17" t="inlineStr">
        <is>
          <t>□사업영향, 산출물 성과지표 등
①2022~2026년도 성과계획서 상 성과지표 및 최근 5년간 성과 달성도
&lt;’22~23년도 성과계획서 상 성과지표&gt;
성과지표
가
중
치
구분
'19
'20
'21
'22
'23
‘23목표치 
산출근거
측정산식
또는 측정방법
자료
수집 방법/
출처
①감사활동의 
경제적 
성과(억원)
0.4
목표
신규
신규
29,786
31,500
32,000 최근 양적 위주의 
지적을 지양하고 적극
행정 면책 활성화를 
위해 노력하는 점을 
감안, ‘21년도 목표치
변상판정, 
추징･회수･보전, 
환급･추급 금액 
및 기대효과 금액
감사활동 실적
실적
26,389
22,044
21,018 33,903 23,401
○전산운영경비
- (요구) 감사원에서 운영 중인 정보시스템(감사자료분석시스템, OASYS, 공공감사정보시스템,
사이버보안센터)의 구축 및 안정적인 운영을 위한 예산 반영
- (산출) 감사자료분석시스템 구축ㆍ운영 2,086백만원, OASYS 구축ㆍ운영 6,50</t>
        </is>
      </c>
      <c r="B59" s="9" t="n"/>
      <c r="C59" s="9" t="n"/>
      <c r="D59" s="9" t="n"/>
      <c r="E59" s="10" t="n"/>
    </row>
    <row r="60" ht="16" customHeight="1">
      <c r="A60" s="4" t="inlineStr">
        <is>
          <t>■ 사업목적  (Alt+Enter 줄바꿈 가능)</t>
        </is>
      </c>
    </row>
    <row r="61" ht="195" customHeight="1">
      <c r="A61" s="17" t="inlineStr">
        <is>
          <t>○각종 전산시스템을 구축·개선하여 방대한 감사자료 등 데이터를 보다 효율적으로 
관리하고, 자체감사기구와의 감사 관련 지식 등 공유를 도모하며 각종 사이버위협에 
효과적으로 대응
▪(감사자료분석시스템 구축·운영) 전산화된 감사자료를 수집ㆍ분석ㆍ활용하고, 데이터
기반의 체계적ㆍ과학적 감사를 지원하여 감사 효율성 및 성과 제고를 위해 구축한 감사
2024
2025
2026
예산
예산액
(추경)
예산
현액
집행액이월액불용액
예산액
(추경)
예산
현액
집행액
이월액불용액
○기능별 분류(합계)
15,865
15,897
12,508
2,424
965
16,111
18,535
13,596
3,594
1,345
10,300
․감사자료분석시스템  
구축ㆍ운영
1,811
1,811
1,764
-
47
1,781
1,722
1,699
-
23
2,086
․OASYS 구축ㆍ운영
12,822
12,799
9,481
2,424
894
12,854
15,337
10,429
3,594
1,314
6,504
․공공감사정보시스템  
구축ㆍ운영
296
351
334
-
17
540
540
536
-
4
647
․사이버보안센터 구축운영
936
936
929
-
7
936
936
932
-
4
1,063
※ '25년 집행액 등은 가결산 금액임
※ 동일 세부사업 및 동일 세목의 내역사업 간 조정 내역
- 관리용역비 59백만원(감사자료분석시스템 구축·운영 △59백만원 →OASYS 구축·운영 +59백만원)
- 21 -
자료분석시스템의 안정적 운영, ’17년에 도입하여 노후화된 감사자료분석시스템의 재구축
및 클라우드 전환 등을 위해 정보화전략계획(ISP) 수립
▪(OASYS 구축ㆍ운영) 변화된 감사환경에 대응하기 위해 업무포털시스템인 OASYS
(전자감사관리시스템, 실적관리시스템, 성과관리시스템, 홈페이지 등으로 구성)을 
사용자 중심으로 고도화하고, 2025년 구축 완료한 5G 네트워크와 VDI(데스크탑 
가상화) 등의 인프라를 안정적으로 운영하는 한편 감사업무용 PC 등 사무용 전산
기기를 최적의 가동상태로 유지하는 등 업무 효율화를 도모
▪(공공감사정보시스템 구축·운영) ｢공공감사에 관한 법률｣(‘10년 제정)에 따라 구축한 
공공감사정보시스템의 안정적 운영으로 감사원과 자체감사기구 간 감사 관련 지식과
경험을 공유하는 한편, 중복감사 방지 등 자체감사체계의 효율화 도모
▪(사이버보안센터 구축ㆍ운영) ｢국가사이버안전관리규정｣ 제10조의2 등에 따라 감사원 내부
자료 등을 대상으로 하는 주요사이버위협에 대응하기 위해 사이버보안센터 구축·운영</t>
        </is>
      </c>
      <c r="B61" s="9" t="n"/>
      <c r="C61" s="9" t="n"/>
      <c r="D61" s="9" t="n"/>
      <c r="E61" s="10" t="n"/>
    </row>
    <row r="62" ht="16" customHeight="1">
      <c r="A62" s="4" t="inlineStr">
        <is>
          <t>■ 사업내용</t>
        </is>
      </c>
    </row>
    <row r="63" ht="130" customHeight="1">
      <c r="A63" s="17" t="inlineStr">
        <is>
          <t>○각종 전산시스템을 구축·개선하여 방대한 감사자료 등 데이터를 보다 효율적으로 
관리하고, 자체감사기구와의 감사 관련 지식 등 공유를 도모하며 각종 사이버위협에 
효과적으로 대응
▪(감사자료분석시스템 구축·운영) 전산화된 감사자료를 수집ㆍ분석ㆍ활용하고, 데이터
기반의 체계적ㆍ과학적 감사를 지원하여 감사 효율성 및 성과 제고를 위해 구축한 감사
2024
20</t>
        </is>
      </c>
      <c r="B63" s="9" t="n"/>
      <c r="C63" s="9" t="n"/>
      <c r="D63" s="9" t="n"/>
      <c r="E63" s="10" t="n"/>
    </row>
    <row r="64" ht="13" customHeight="1">
      <c r="A64" s="28" t="inlineStr">
        <is>
          <t>출력일: 2026-03-23  |  KAIB 파이프라인 자동 생성  |  사업코드: 1134-309</t>
        </is>
      </c>
    </row>
  </sheetData>
  <mergeCells count="44">
    <mergeCell ref="B9:E9"/>
    <mergeCell ref="A30:B30"/>
    <mergeCell ref="A48:E48"/>
    <mergeCell ref="B49:E49"/>
    <mergeCell ref="A58:E58"/>
    <mergeCell ref="A59:E59"/>
    <mergeCell ref="D1:E1"/>
    <mergeCell ref="A64:E64"/>
    <mergeCell ref="A60:E60"/>
    <mergeCell ref="B15:E15"/>
    <mergeCell ref="B55:E55"/>
    <mergeCell ref="B24:E24"/>
    <mergeCell ref="B51:E51"/>
    <mergeCell ref="A61:E61"/>
    <mergeCell ref="B38:D38"/>
    <mergeCell ref="B50:E50"/>
    <mergeCell ref="A25:E25"/>
    <mergeCell ref="B16:E16"/>
    <mergeCell ref="B54:E54"/>
    <mergeCell ref="A37:E37"/>
    <mergeCell ref="B47:E47"/>
    <mergeCell ref="A27:B27"/>
    <mergeCell ref="A18:E18"/>
    <mergeCell ref="A3:E3"/>
    <mergeCell ref="A26:B26"/>
    <mergeCell ref="A12:E12"/>
    <mergeCell ref="B56:E56"/>
    <mergeCell ref="B43:D43"/>
    <mergeCell ref="A2:E2"/>
    <mergeCell ref="B52:E52"/>
    <mergeCell ref="B11:E11"/>
    <mergeCell ref="A22:E22"/>
    <mergeCell ref="B42:E42"/>
    <mergeCell ref="B17:E17"/>
    <mergeCell ref="B23:E23"/>
    <mergeCell ref="B57:E57"/>
    <mergeCell ref="A62:E62"/>
    <mergeCell ref="A29:B29"/>
    <mergeCell ref="B53:E53"/>
    <mergeCell ref="A1:C1"/>
    <mergeCell ref="A28:B28"/>
    <mergeCell ref="A63:E63"/>
    <mergeCell ref="A31:E31"/>
    <mergeCell ref="B10:E10"/>
  </mergeCells>
  <pageMargins left="0.59" right="0.39" top="0.75" bottom="0.75" header="0.31" footer="0.31"/>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E45"/>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개인정보보호위원회</t>
        </is>
      </c>
      <c r="D1" s="2" t="inlineStr">
        <is>
          <t>코드: 1033-307</t>
        </is>
      </c>
    </row>
    <row r="2" ht="26" customHeight="1">
      <c r="A2" s="3" t="inlineStr">
        <is>
          <t>개인정보 안전활용 선도기술 개발(R&amp;D)</t>
        </is>
      </c>
    </row>
    <row r="3" ht="16" customHeight="1">
      <c r="A3" s="4" t="inlineStr">
        <is>
          <t>■ 기본 정보</t>
        </is>
      </c>
    </row>
    <row r="4" ht="17" customHeight="1">
      <c r="A4" s="5" t="inlineStr">
        <is>
          <t>회계유형</t>
        </is>
      </c>
      <c r="B4" s="6" t="inlineStr">
        <is>
          <t>일반회계</t>
        </is>
      </c>
      <c r="C4" s="5" t="inlineStr">
        <is>
          <t>분야</t>
        </is>
      </c>
      <c r="D4" s="6" t="inlineStr">
        <is>
          <t>일반·지방행정</t>
        </is>
      </c>
      <c r="E4" s="7" t="n"/>
    </row>
    <row r="5" ht="17" customHeight="1">
      <c r="A5" s="5" t="inlineStr">
        <is>
          <t>부문</t>
        </is>
      </c>
      <c r="B5" s="6" t="inlineStr">
        <is>
          <t>정부자원관리</t>
        </is>
      </c>
      <c r="C5" s="5" t="inlineStr">
        <is>
          <t>상태</t>
        </is>
      </c>
      <c r="D5" s="6" t="inlineStr">
        <is>
          <t>계속</t>
        </is>
      </c>
      <c r="E5" s="7" t="n"/>
    </row>
    <row r="6" ht="17" customHeight="1">
      <c r="A6" s="5" t="inlineStr">
        <is>
          <t>지원유형</t>
        </is>
      </c>
      <c r="B6" s="6" t="inlineStr">
        <is>
          <t>출연</t>
        </is>
      </c>
      <c r="C6" s="5" t="inlineStr">
        <is>
          <t>시행기관</t>
        </is>
      </c>
      <c r="D6" s="6" t="inlineStr">
        <is>
          <t>한국인터넷진흥원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[1000] 개인정보보호 기반 데이터 활용 선도</t>
        </is>
      </c>
      <c r="C9" s="9" t="n"/>
      <c r="D9" s="9" t="n"/>
      <c r="E9" s="10" t="n"/>
    </row>
    <row r="10" ht="17" customHeight="1">
      <c r="A10" s="5" t="inlineStr">
        <is>
          <t>단위사업</t>
        </is>
      </c>
      <c r="B10" s="8" t="inlineStr">
        <is>
          <t>[1033] 개인정보보호연구</t>
        </is>
      </c>
      <c r="C10" s="9" t="n"/>
      <c r="D10" s="9" t="n"/>
      <c r="E10" s="10" t="n"/>
    </row>
    <row r="11" ht="17" customHeight="1">
      <c r="A11" s="5" t="inlineStr">
        <is>
          <t>세부사업</t>
        </is>
      </c>
      <c r="B11" s="8" t="inlineStr">
        <is>
          <t>[307] 개인정보 안전활용 선도기술 개발(R&amp;D)</t>
        </is>
      </c>
      <c r="C11" s="9" t="n"/>
      <c r="D11" s="9" t="n"/>
      <c r="E11" s="10" t="n"/>
    </row>
    <row r="12" ht="16" customHeight="1">
      <c r="A12" s="4" t="inlineStr">
        <is>
          <t>■ 사업 개요</t>
        </is>
      </c>
    </row>
    <row r="13" ht="17" customHeight="1">
      <c r="A13" s="5" t="inlineStr">
        <is>
          <t>사업규모</t>
        </is>
      </c>
      <c r="B13" s="17" t="inlineStr">
        <is>
          <t>- 총사업비 : 해당없음</t>
        </is>
      </c>
      <c r="C13" s="9" t="n"/>
      <c r="D13" s="9" t="n"/>
      <c r="E13" s="10" t="n"/>
    </row>
    <row r="14" ht="17" customHeight="1">
      <c r="A14" s="5" t="inlineStr">
        <is>
          <t>사업수혜자</t>
        </is>
      </c>
      <c r="B14" s="17" t="inlineStr">
        <is>
          <t>정보주체(국민), 개인정보 보호·활용 기술 분야 기업·사업자 등</t>
        </is>
      </c>
      <c r="C14" s="9" t="n"/>
      <c r="D14" s="9" t="n"/>
      <c r="E14" s="10" t="n"/>
    </row>
    <row r="15" ht="17" customHeight="1">
      <c r="A15" s="5" t="inlineStr">
        <is>
          <t>사업시행방법</t>
        </is>
      </c>
      <c r="B15" s="17" t="inlineStr">
        <is>
          <t>출연</t>
        </is>
      </c>
      <c r="C15" s="9" t="n"/>
      <c r="D15" s="9" t="n"/>
      <c r="E15" s="10" t="n"/>
    </row>
    <row r="16" ht="16" customHeight="1">
      <c r="A16" s="4" t="inlineStr">
        <is>
          <t>■ 예산 현황 (단위: 백만원)  ┃  증감액·증감률 자동계산</t>
        </is>
      </c>
    </row>
    <row r="17" ht="17" customHeight="1">
      <c r="A17" s="11" t="inlineStr">
        <is>
          <t>2024 결산</t>
        </is>
      </c>
      <c r="B17" s="11" t="inlineStr">
        <is>
          <t>2025 본예산</t>
        </is>
      </c>
      <c r="C17" s="11" t="inlineStr">
        <is>
          <t>2026 확정</t>
        </is>
      </c>
      <c r="D17" s="11" t="inlineStr">
        <is>
          <t>증감액 ▶자동</t>
        </is>
      </c>
      <c r="E17" s="11" t="inlineStr">
        <is>
          <t>증감률(%) ▶자동</t>
        </is>
      </c>
    </row>
    <row r="18" ht="17" customHeight="1">
      <c r="A18" s="12" t="n"/>
      <c r="B18" s="12" t="n"/>
      <c r="C18" s="13" t="n">
        <v>6138</v>
      </c>
      <c r="D18" s="14">
        <f>IF(AND(C18&lt;&gt;"",B18&lt;&gt;""),C18-B18,"")</f>
        <v/>
      </c>
      <c r="E18" s="15">
        <f>IF(AND(C18&lt;&gt;"",B18&lt;&gt;"",B18&lt;&gt;0),(C18-B18)/B18*100,"")</f>
        <v/>
      </c>
    </row>
    <row r="19" ht="16" customHeight="1">
      <c r="A19" s="5" t="inlineStr">
        <is>
          <t>2025 추경</t>
        </is>
      </c>
      <c r="B19" s="12" t="n"/>
      <c r="C19" s="9" t="n"/>
      <c r="D19" s="9" t="n"/>
      <c r="E19" s="10" t="n"/>
    </row>
    <row r="20" ht="16" customHeight="1">
      <c r="A20" s="5" t="inlineStr">
        <is>
          <t>2026 요구</t>
        </is>
      </c>
      <c r="B20" s="12" t="n">
        <v>6138</v>
      </c>
      <c r="C20" s="9" t="n"/>
      <c r="D20" s="9" t="n"/>
      <c r="E20" s="10" t="n"/>
    </row>
    <row r="21" ht="16" customHeight="1">
      <c r="A21" s="4" t="inlineStr">
        <is>
          <t>■ 사업기간 및 총사업비</t>
        </is>
      </c>
    </row>
    <row r="22" ht="17" customHeight="1">
      <c r="A22" s="5" t="inlineStr">
        <is>
          <t>사업시작연도</t>
        </is>
      </c>
      <c r="B22" s="12" t="n">
        <v>2026</v>
      </c>
      <c r="C22" s="5" t="inlineStr">
        <is>
          <t>사업종료연도</t>
        </is>
      </c>
      <c r="D22" s="12" t="n">
        <v>2028</v>
      </c>
      <c r="E22" s="7" t="n"/>
    </row>
    <row r="23" ht="17" customHeight="1">
      <c r="A23" s="5" t="inlineStr">
        <is>
          <t>사업기간(원문)</t>
        </is>
      </c>
      <c r="B23" s="6" t="inlineStr">
        <is>
          <t>2026년 ~ 2028년(3년)</t>
        </is>
      </c>
      <c r="C23" s="5" t="inlineStr">
        <is>
          <t>사업기간(년)</t>
        </is>
      </c>
      <c r="D23" s="6" t="inlineStr">
        <is>
          <t>3년</t>
        </is>
      </c>
      <c r="E23" s="7" t="n"/>
    </row>
    <row r="24" ht="17" customHeight="1">
      <c r="A24" s="5" t="inlineStr">
        <is>
          <t>총사업비</t>
        </is>
      </c>
      <c r="B24" s="6" t="inlineStr"/>
      <c r="C24" s="5" t="inlineStr">
        <is>
          <t>국고</t>
        </is>
      </c>
      <c r="D24" s="6" t="inlineStr"/>
      <c r="E24" s="7" t="n"/>
    </row>
    <row r="25" ht="16" customHeight="1">
      <c r="A25" s="4" t="inlineStr">
        <is>
          <t>■ AI 분류</t>
        </is>
      </c>
    </row>
    <row r="26" ht="17" customHeight="1">
      <c r="A26" s="5" t="inlineStr">
        <is>
          <t>AI 도메인</t>
        </is>
      </c>
      <c r="B26" s="17" t="inlineStr">
        <is>
          <t>데이터</t>
        </is>
      </c>
      <c r="C26" s="9" t="n"/>
      <c r="D26" s="9" t="n"/>
      <c r="E26" s="10" t="n"/>
    </row>
    <row r="27" ht="17" customHeight="1">
      <c r="A27" s="5" t="inlineStr">
        <is>
          <t>R&amp;D 단계</t>
        </is>
      </c>
      <c r="B27" s="17" t="inlineStr">
        <is>
          <t>개발</t>
        </is>
      </c>
      <c r="C27" s="9" t="n"/>
      <c r="D27" s="9" t="n"/>
      <c r="E27" s="10" t="n"/>
    </row>
    <row r="28" ht="17" customHeight="1">
      <c r="A28" s="5" t="inlineStr">
        <is>
          <t>키워드</t>
        </is>
      </c>
      <c r="B28" s="17" t="inlineStr">
        <is>
          <t>개인정보, 안전활용, 선도기술, 개발</t>
        </is>
      </c>
      <c r="C28" s="9" t="n"/>
      <c r="D28" s="9" t="n"/>
      <c r="E28" s="10" t="n"/>
    </row>
    <row r="29" ht="16" customHeight="1">
      <c r="A29" s="4" t="inlineStr">
        <is>
          <t>■ 내역사업 (3건)  ┃  빈 행 없이 연속 입력</t>
        </is>
      </c>
    </row>
    <row r="30" ht="16" customHeight="1">
      <c r="A30" s="11" t="inlineStr">
        <is>
          <t>내역사업명</t>
        </is>
      </c>
      <c r="B30" s="10" t="n"/>
      <c r="C30" s="11" t="inlineStr">
        <is>
          <t>2025</t>
        </is>
      </c>
      <c r="D30" s="11" t="inlineStr">
        <is>
          <t>2026</t>
        </is>
      </c>
    </row>
    <row r="31" ht="17" customHeight="1">
      <c r="A31" s="18" t="inlineStr">
        <is>
          <t>원본데이터 안전활용 기술</t>
        </is>
      </c>
      <c r="B31" s="10" t="n"/>
      <c r="C31" s="29" t="n"/>
      <c r="D31" s="29" t="n"/>
      <c r="E31" s="19" t="n">
        <v>4560</v>
      </c>
    </row>
    <row r="32" ht="17" customHeight="1">
      <c r="A32" s="8" t="inlineStr">
        <is>
          <t>AI프라이버시 리스크대응기술 개발</t>
        </is>
      </c>
      <c r="B32" s="10" t="n"/>
      <c r="C32" s="30" t="n"/>
      <c r="D32" s="30" t="n"/>
      <c r="E32" s="12" t="n">
        <v>1344</v>
      </c>
    </row>
    <row r="33" ht="17" customHeight="1">
      <c r="A33" s="18" t="inlineStr">
        <is>
          <t>기평비</t>
        </is>
      </c>
      <c r="B33" s="10" t="n"/>
      <c r="C33" s="29" t="n"/>
      <c r="D33" s="29" t="n"/>
      <c r="E33" s="19" t="n">
        <v>234</v>
      </c>
    </row>
    <row r="34" ht="16" customHeight="1">
      <c r="A34" s="4" t="inlineStr">
        <is>
          <t>■ 사업관리자 (3건)</t>
        </is>
      </c>
    </row>
    <row r="35" ht="16" customHeight="1">
      <c r="A35" s="11" t="inlineStr">
        <is>
          <t>내역사업명</t>
        </is>
      </c>
      <c r="B35" s="11" t="inlineStr">
        <is>
          <t>소관부서</t>
        </is>
      </c>
      <c r="C35" s="11" t="inlineStr">
        <is>
          <t>시행기관</t>
        </is>
      </c>
      <c r="D35" s="11" t="inlineStr">
        <is>
          <t>담당자</t>
        </is>
      </c>
      <c r="E35" s="11" t="inlineStr">
        <is>
          <t>연락처</t>
        </is>
      </c>
    </row>
    <row r="36" ht="16" customHeight="1">
      <c r="A36" s="20" t="inlineStr">
        <is>
          <t>원본데이터 안전활용 기술개발</t>
        </is>
      </c>
      <c r="B36" s="20" t="inlineStr">
        <is>
          <t>개인정보정책국</t>
        </is>
      </c>
      <c r="C36" s="20" t="inlineStr">
        <is>
          <t>신기술개인정보과</t>
        </is>
      </c>
      <c r="D36" s="20" t="inlineStr"/>
      <c r="E36" s="20" t="inlineStr"/>
    </row>
    <row r="37" ht="16" customHeight="1">
      <c r="A37" s="21" t="inlineStr">
        <is>
          <t>AI 프라이버시 리스크 대응기술 개발</t>
        </is>
      </c>
      <c r="B37" s="21" t="inlineStr">
        <is>
          <t>개인정보정책국</t>
        </is>
      </c>
      <c r="C37" s="21" t="inlineStr">
        <is>
          <t>신기술개인정보과</t>
        </is>
      </c>
      <c r="D37" s="21" t="inlineStr"/>
      <c r="E37" s="21" t="inlineStr"/>
    </row>
    <row r="38" ht="16" customHeight="1">
      <c r="A38" s="20" t="inlineStr">
        <is>
          <t>기평비</t>
        </is>
      </c>
      <c r="B38" s="20" t="inlineStr">
        <is>
          <t>개인정보정책국</t>
        </is>
      </c>
      <c r="C38" s="20" t="inlineStr">
        <is>
          <t>신기술개인정보과</t>
        </is>
      </c>
      <c r="D38" s="20" t="inlineStr"/>
      <c r="E38" s="20" t="inlineStr"/>
    </row>
    <row r="39" ht="16" customHeight="1">
      <c r="A39" s="4" t="inlineStr">
        <is>
          <t>■ 효과성</t>
        </is>
      </c>
    </row>
    <row r="40" ht="156" customHeight="1">
      <c r="A40" s="17" t="inlineStr">
        <is>
          <t>□사업영향, 산출물 성과지표 등
①’22~’26년도 성과계획서 상 성과지표 및 최근 5년간 성과 달성도
성과지표
구분
'22
'23
'24
'25
'26
‘26목표치 
산출근거
측정산식
(또는 측정방법)
자료수집방법
(또는 자료출처)
가명정보 
지원플랫폼 
서비스 이용 
건수(건)
목표
신규
신규
신규
2,043
2,247 ㅇ 데이터 활용 수요 증가 
등 정책 환경 변화를 
반영하여 '25년 목표치
에서 10% 상향한 도전
적인 목표치인 2,247건
으로 설정
가명정보 
지원플랫폼 내 
각 서비스 이용 
건수의 합계
가명정보지원
플랫폼에서 각 
서비스 이용 
건수 확인
실적
신규
신규
신규
-
-
달성도신규
신규
신규
-
-
②성과지표 이외의 연도별 사업추진 경과 및 실적 : 해당사항 없음
③향후(’26년도 이후) 기대효과 
- 원본데이터 재식별 위험 감소, 개인정보 기술 산업 분야 창출 및 경제 효과 증대,
개인정보 분야 산업 활성화 기반 마련
- AGI 환경에서의 프라이버시 리스</t>
        </is>
      </c>
      <c r="B40" s="9" t="n"/>
      <c r="C40" s="9" t="n"/>
      <c r="D40" s="9" t="n"/>
      <c r="E40" s="10" t="n"/>
    </row>
    <row r="41" ht="16" customHeight="1">
      <c r="A41" s="4" t="inlineStr">
        <is>
          <t>■ 사업목적  (Alt+Enter 줄바꿈 가능)</t>
        </is>
      </c>
    </row>
    <row r="42" ht="117" customHeight="1">
      <c r="A42" s="17" t="inlineStr">
        <is>
          <t>- 개인정보 안전활용 기술을 통해 개인정보 유·노출 사고를 예방하고 신뢰받는 데이터 
활용 생태계 구축
- (원본데이터 안전 활용 기술) 합성데이터 생성․검증 기술, 가명․익명처리 기술,
딥페이크 대응 생체정보 무단도용 방지 기술 등 안전한 원본데이터 활용 기술 개발
- (AI 프라이버시 리스크 대응 기술 개발) 생성/추론형 AI 등 고도화된 AI 모델 대상
통용 가능한 프라이버시 리스크 대응 기술 개발</t>
        </is>
      </c>
      <c r="B42" s="9" t="n"/>
      <c r="C42" s="9" t="n"/>
      <c r="D42" s="9" t="n"/>
      <c r="E42" s="10" t="n"/>
    </row>
    <row r="43" ht="16" customHeight="1">
      <c r="A43" s="4" t="inlineStr">
        <is>
          <t>■ 사업내용</t>
        </is>
      </c>
    </row>
    <row r="44" ht="104" customHeight="1">
      <c r="A44" s="17" t="inlineStr">
        <is>
          <t>- 개인정보 안전활용 기술을 통해 개인정보 유·노출 사고를 예방하고 신뢰받는 데이터 
활용 생태계 구축
- (원본데이터 안전 활용 기술) 합성데이터 생성․검증 기술, 가명․익명처리 기술,
딥페이크 대응 생체정보 무단도용 방지 기술 등 안전한 원본데이터 활용 기술 개발
- (AI 프라이버시 리스크 대응 기술 개발) 생성/추론형 AI 등 고도화된 AI 모델 대</t>
        </is>
      </c>
      <c r="B44" s="9" t="n"/>
      <c r="C44" s="9" t="n"/>
      <c r="D44" s="9" t="n"/>
      <c r="E44" s="10" t="n"/>
    </row>
    <row r="45" ht="13" customHeight="1">
      <c r="A45" s="28" t="inlineStr">
        <is>
          <t>출력일: 2026-03-23  |  KAIB 파이프라인 자동 생성  |  사업코드: 1033-307</t>
        </is>
      </c>
    </row>
  </sheetData>
  <mergeCells count="32">
    <mergeCell ref="A39:E39"/>
    <mergeCell ref="A31:B31"/>
    <mergeCell ref="B9:E9"/>
    <mergeCell ref="A30:B30"/>
    <mergeCell ref="A34:E34"/>
    <mergeCell ref="D1:E1"/>
    <mergeCell ref="B15:E15"/>
    <mergeCell ref="A45:E45"/>
    <mergeCell ref="B20:E20"/>
    <mergeCell ref="B26:E26"/>
    <mergeCell ref="A16:E16"/>
    <mergeCell ref="A25:E25"/>
    <mergeCell ref="A41:E41"/>
    <mergeCell ref="A3:E3"/>
    <mergeCell ref="A21:E21"/>
    <mergeCell ref="A12:E12"/>
    <mergeCell ref="B27:E27"/>
    <mergeCell ref="A2:E2"/>
    <mergeCell ref="A33:B33"/>
    <mergeCell ref="A42:E42"/>
    <mergeCell ref="A32:B32"/>
    <mergeCell ref="B11:E11"/>
    <mergeCell ref="B14:E14"/>
    <mergeCell ref="A29:E29"/>
    <mergeCell ref="A43:E43"/>
    <mergeCell ref="A1:C1"/>
    <mergeCell ref="B13:E13"/>
    <mergeCell ref="B19:E19"/>
    <mergeCell ref="A44:E44"/>
    <mergeCell ref="B10:E10"/>
    <mergeCell ref="B28:E28"/>
    <mergeCell ref="A40:E40"/>
  </mergeCells>
  <pageMargins left="0.59" right="0.39" top="0.75" bottom="0.75" header="0.31" footer="0.31"/>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E44"/>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개인정보보호위원회</t>
        </is>
      </c>
      <c r="D1" s="2" t="inlineStr">
        <is>
          <t>코드: 1033-305</t>
        </is>
      </c>
    </row>
    <row r="2" ht="26" customHeight="1">
      <c r="A2" s="3" t="inlineStr">
        <is>
          <t>신뢰기반의 AI 개인정보 보호·활용 기술개발(R&amp;D)</t>
        </is>
      </c>
    </row>
    <row r="3" ht="16" customHeight="1">
      <c r="A3" s="4" t="inlineStr">
        <is>
          <t>■ 기본 정보</t>
        </is>
      </c>
    </row>
    <row r="4" ht="17" customHeight="1">
      <c r="A4" s="5" t="inlineStr">
        <is>
          <t>회계유형</t>
        </is>
      </c>
      <c r="B4" s="6" t="inlineStr">
        <is>
          <t>일반회계</t>
        </is>
      </c>
      <c r="C4" s="5" t="inlineStr">
        <is>
          <t>분야</t>
        </is>
      </c>
      <c r="D4" s="6" t="inlineStr">
        <is>
          <t>일반·지방행정</t>
        </is>
      </c>
      <c r="E4" s="7" t="n"/>
    </row>
    <row r="5" ht="17" customHeight="1">
      <c r="A5" s="5" t="inlineStr">
        <is>
          <t>부문</t>
        </is>
      </c>
      <c r="B5" s="6" t="inlineStr">
        <is>
          <t>정부자원관리</t>
        </is>
      </c>
      <c r="C5" s="5" t="inlineStr">
        <is>
          <t>상태</t>
        </is>
      </c>
      <c r="D5" s="6" t="inlineStr">
        <is>
          <t>계속</t>
        </is>
      </c>
      <c r="E5" s="7" t="n"/>
    </row>
    <row r="6" ht="17" customHeight="1">
      <c r="A6" s="5" t="inlineStr">
        <is>
          <t>지원유형</t>
        </is>
      </c>
      <c r="B6" s="6" t="inlineStr">
        <is>
          <t>출연</t>
        </is>
      </c>
      <c r="C6" s="5" t="inlineStr">
        <is>
          <t>시행기관</t>
        </is>
      </c>
      <c r="D6" s="6" t="inlineStr">
        <is>
          <t>한국인터넷진흥원</t>
        </is>
      </c>
      <c r="E6" s="7" t="n"/>
    </row>
    <row r="7" ht="17" customHeight="1">
      <c r="A7" s="5" t="inlineStr">
        <is>
          <t>R&amp;D 여부</t>
        </is>
      </c>
      <c r="B7" s="6" t="inlineStr">
        <is>
          <t>O</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[1000] 개인정보보호 기반 데이터 활용 선도</t>
        </is>
      </c>
      <c r="C9" s="9" t="n"/>
      <c r="D9" s="9" t="n"/>
      <c r="E9" s="10" t="n"/>
    </row>
    <row r="10" ht="17" customHeight="1">
      <c r="A10" s="5" t="inlineStr">
        <is>
          <t>단위사업</t>
        </is>
      </c>
      <c r="B10" s="8" t="inlineStr">
        <is>
          <t>[1033] 개인정보보호연구</t>
        </is>
      </c>
      <c r="C10" s="9" t="n"/>
      <c r="D10" s="9" t="n"/>
      <c r="E10" s="10" t="n"/>
    </row>
    <row r="11" ht="17" customHeight="1">
      <c r="A11" s="5" t="inlineStr">
        <is>
          <t>세부사업</t>
        </is>
      </c>
      <c r="B11" s="8" t="inlineStr">
        <is>
          <t>[305] 신뢰기반의 AI 개인정보 보호·활용 기술개발(R&amp;D)</t>
        </is>
      </c>
      <c r="C11" s="9" t="n"/>
      <c r="D11" s="9" t="n"/>
      <c r="E11" s="10" t="n"/>
    </row>
    <row r="12" ht="16" customHeight="1">
      <c r="A12" s="4" t="inlineStr">
        <is>
          <t>■ 사업 개요</t>
        </is>
      </c>
    </row>
    <row r="13" ht="17" customHeight="1">
      <c r="A13" s="5" t="inlineStr">
        <is>
          <t>사업규모</t>
        </is>
      </c>
      <c r="B13" s="17" t="inlineStr">
        <is>
          <t>- 총사업비 : 해당없음</t>
        </is>
      </c>
      <c r="C13" s="9" t="n"/>
      <c r="D13" s="9" t="n"/>
      <c r="E13" s="10" t="n"/>
    </row>
    <row r="14" ht="17" customHeight="1">
      <c r="A14" s="5" t="inlineStr">
        <is>
          <t>사업수혜자</t>
        </is>
      </c>
      <c r="B14" s="17" t="inlineStr">
        <is>
          <t>정보주체(국민), 개인정보 보호·활용 기술 분야 기업·사업자 등</t>
        </is>
      </c>
      <c r="C14" s="9" t="n"/>
      <c r="D14" s="9" t="n"/>
      <c r="E14" s="10" t="n"/>
    </row>
    <row r="15" ht="17" customHeight="1">
      <c r="A15" s="5" t="inlineStr">
        <is>
          <t>사업시행방법</t>
        </is>
      </c>
      <c r="B15" s="17" t="inlineStr">
        <is>
          <t>출연</t>
        </is>
      </c>
      <c r="C15" s="9" t="n"/>
      <c r="D15" s="9" t="n"/>
      <c r="E15" s="10" t="n"/>
    </row>
    <row r="16" ht="16" customHeight="1">
      <c r="A16" s="4" t="inlineStr">
        <is>
          <t>■ 예산 현황 (단위: 백만원)  ┃  증감액·증감률 자동계산</t>
        </is>
      </c>
    </row>
    <row r="17" ht="17" customHeight="1">
      <c r="A17" s="11" t="inlineStr">
        <is>
          <t>2024 결산</t>
        </is>
      </c>
      <c r="B17" s="11" t="inlineStr">
        <is>
          <t>2025 본예산</t>
        </is>
      </c>
      <c r="C17" s="11" t="inlineStr">
        <is>
          <t>2026 확정</t>
        </is>
      </c>
      <c r="D17" s="11" t="inlineStr">
        <is>
          <t>증감액 ▶자동</t>
        </is>
      </c>
      <c r="E17" s="11" t="inlineStr">
        <is>
          <t>증감률(%) ▶자동</t>
        </is>
      </c>
    </row>
    <row r="18" ht="17" customHeight="1">
      <c r="A18" s="12" t="n"/>
      <c r="B18" s="12" t="n">
        <v>1500</v>
      </c>
      <c r="C18" s="13" t="n">
        <v>2660</v>
      </c>
      <c r="D18" s="14">
        <f>IF(AND(C18&lt;&gt;"",B18&lt;&gt;""),C18-B18,"")</f>
        <v/>
      </c>
      <c r="E18" s="15">
        <f>IF(AND(C18&lt;&gt;"",B18&lt;&gt;"",B18&lt;&gt;0),(C18-B18)/B18*100,"")</f>
        <v/>
      </c>
    </row>
    <row r="19" ht="16" customHeight="1">
      <c r="A19" s="5" t="inlineStr">
        <is>
          <t>2025 추경</t>
        </is>
      </c>
      <c r="B19" s="12" t="n">
        <v>1500</v>
      </c>
      <c r="C19" s="9" t="n"/>
      <c r="D19" s="9" t="n"/>
      <c r="E19" s="10" t="n"/>
    </row>
    <row r="20" ht="16" customHeight="1">
      <c r="A20" s="5" t="inlineStr">
        <is>
          <t>2026 요구</t>
        </is>
      </c>
      <c r="B20" s="12" t="n">
        <v>2660</v>
      </c>
      <c r="C20" s="9" t="n"/>
      <c r="D20" s="9" t="n"/>
      <c r="E20" s="10" t="n"/>
    </row>
    <row r="21" ht="16" customHeight="1">
      <c r="A21" s="5" t="inlineStr">
        <is>
          <t>연도별 이력</t>
        </is>
      </c>
      <c r="B21" s="16" t="inlineStr">
        <is>
          <t>2025: 1,500  2026: 2,660</t>
        </is>
      </c>
      <c r="C21" s="9" t="n"/>
      <c r="D21" s="9" t="n"/>
      <c r="E21" s="10" t="n"/>
    </row>
    <row r="22" ht="16" customHeight="1">
      <c r="A22" s="4" t="inlineStr">
        <is>
          <t>■ 사업기간 및 총사업비</t>
        </is>
      </c>
    </row>
    <row r="23" ht="17" customHeight="1">
      <c r="A23" s="5" t="inlineStr">
        <is>
          <t>사업시작연도</t>
        </is>
      </c>
      <c r="B23" s="12" t="n">
        <v>2025</v>
      </c>
      <c r="C23" s="5" t="inlineStr">
        <is>
          <t>사업종료연도</t>
        </is>
      </c>
      <c r="D23" s="12" t="n">
        <v>2027</v>
      </c>
      <c r="E23" s="7" t="n"/>
    </row>
    <row r="24" ht="17" customHeight="1">
      <c r="A24" s="5" t="inlineStr">
        <is>
          <t>사업기간(원문)</t>
        </is>
      </c>
      <c r="B24" s="6" t="inlineStr">
        <is>
          <t>2025년 ~ 2027년(3년)</t>
        </is>
      </c>
      <c r="C24" s="5" t="inlineStr">
        <is>
          <t>사업기간(년)</t>
        </is>
      </c>
      <c r="D24" s="6" t="inlineStr">
        <is>
          <t>3년</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7" t="inlineStr">
        <is>
          <t>보안/사이버, 교육/인재</t>
        </is>
      </c>
      <c r="C27" s="9" t="n"/>
      <c r="D27" s="9" t="n"/>
      <c r="E27" s="10" t="n"/>
    </row>
    <row r="28" ht="17" customHeight="1">
      <c r="A28" s="5" t="inlineStr">
        <is>
          <t>R&amp;D 단계</t>
        </is>
      </c>
      <c r="B28" s="17" t="inlineStr">
        <is>
          <t>개발</t>
        </is>
      </c>
      <c r="C28" s="9" t="n"/>
      <c r="D28" s="9" t="n"/>
      <c r="E28" s="10" t="n"/>
    </row>
    <row r="29" ht="17" customHeight="1">
      <c r="A29" s="5" t="inlineStr">
        <is>
          <t>키워드</t>
        </is>
      </c>
      <c r="B29" s="17" t="inlineStr">
        <is>
          <t>신뢰기반의, AI, 개인정보, 보호, 활용, 기술개발</t>
        </is>
      </c>
      <c r="C29" s="9" t="n"/>
      <c r="D29" s="9" t="n"/>
      <c r="E29" s="10" t="n"/>
    </row>
    <row r="30" ht="16" customHeight="1">
      <c r="A30" s="4" t="inlineStr">
        <is>
          <t>■ 내역사업 (2건)  ┃  빈 행 없이 연속 입력</t>
        </is>
      </c>
    </row>
    <row r="31" ht="16" customHeight="1">
      <c r="A31" s="11" t="inlineStr">
        <is>
          <t>내역사업명</t>
        </is>
      </c>
      <c r="B31" s="10" t="n"/>
      <c r="C31" s="11" t="inlineStr">
        <is>
          <t>2025</t>
        </is>
      </c>
      <c r="D31" s="11" t="inlineStr">
        <is>
          <t>2026</t>
        </is>
      </c>
    </row>
    <row r="32" ht="17" customHeight="1">
      <c r="A32" s="18" t="inlineStr">
        <is>
          <t>AI 대응개인정보보호강화기술개발</t>
        </is>
      </c>
      <c r="B32" s="10" t="n"/>
      <c r="C32" s="29" t="n"/>
      <c r="D32" s="19" t="n">
        <v>1440</v>
      </c>
      <c r="E32" s="19" t="n">
        <v>2560</v>
      </c>
    </row>
    <row r="33" ht="17" customHeight="1">
      <c r="A33" s="8" t="inlineStr">
        <is>
          <t>기평비</t>
        </is>
      </c>
      <c r="B33" s="10" t="n"/>
      <c r="C33" s="30" t="n"/>
      <c r="D33" s="12" t="n">
        <v>60</v>
      </c>
      <c r="E33" s="12" t="n">
        <v>100</v>
      </c>
    </row>
    <row r="34" ht="16" customHeight="1">
      <c r="A34" s="4" t="inlineStr">
        <is>
          <t>■ 사업관리자 (2건)</t>
        </is>
      </c>
    </row>
    <row r="35" ht="16" customHeight="1">
      <c r="A35" s="11" t="inlineStr">
        <is>
          <t>내역사업명</t>
        </is>
      </c>
      <c r="B35" s="11" t="inlineStr">
        <is>
          <t>소관부서</t>
        </is>
      </c>
      <c r="C35" s="11" t="inlineStr">
        <is>
          <t>시행기관</t>
        </is>
      </c>
      <c r="D35" s="11" t="inlineStr">
        <is>
          <t>담당자</t>
        </is>
      </c>
      <c r="E35" s="11" t="inlineStr">
        <is>
          <t>연락처</t>
        </is>
      </c>
    </row>
    <row r="36" ht="16" customHeight="1">
      <c r="A36" s="20" t="inlineStr">
        <is>
          <t>AI 대응 개인정보보호 강화기술 개발</t>
        </is>
      </c>
      <c r="B36" s="20" t="inlineStr">
        <is>
          <t>개인정보정책국</t>
        </is>
      </c>
      <c r="C36" s="20" t="inlineStr">
        <is>
          <t>신기술개인정보과</t>
        </is>
      </c>
      <c r="D36" s="20" t="inlineStr"/>
      <c r="E36" s="20" t="inlineStr"/>
    </row>
    <row r="37" ht="16" customHeight="1">
      <c r="A37" s="21" t="inlineStr">
        <is>
          <t>기평비</t>
        </is>
      </c>
      <c r="B37" s="21" t="inlineStr">
        <is>
          <t>개인정보정책국</t>
        </is>
      </c>
      <c r="C37" s="21" t="inlineStr">
        <is>
          <t>신기술개인정보과</t>
        </is>
      </c>
      <c r="D37" s="21" t="inlineStr"/>
      <c r="E37" s="21" t="inlineStr"/>
    </row>
    <row r="38" ht="16" customHeight="1">
      <c r="A38" s="4" t="inlineStr">
        <is>
          <t>■ 효과성</t>
        </is>
      </c>
    </row>
    <row r="39" ht="156" customHeight="1">
      <c r="A39" s="17" t="inlineStr">
        <is>
          <t>□사업영향, 산출물 성과지표 등
①’22~’26년도 성과계획서 상 성과지표 및 최근 5년간 성과 달성도
성과지표
구분
'22
'23
'24
'25
'26
‘26목표치 
산출근거
측정산식
(또는 측정방법)
자료수집방법
(또는 자료출처)
가명정보 
지원플랫폼 
서비스 이용 
건수(건)
목표
신규
신규
신규
2,043
2,247 ㅇ 데이터 활용 수요 증가 
등 정책 환경 변화를 
반영하여 '25년 목표치
에서 10% 상향한 도전
적인 목표치인 2,247건
으로 설정
가명정보 
지원플랫폼 내 
각 서비스 이용 
건수의 합계
가명정보지원
플랫폼에서 각 
서비스 이용 
건수 확인
실적
신규
신규
신규
-
-
달성도신규
신규
신규
-
-
□AI 대응 개인정보보호 강화기술 개발
: (‘2</t>
        </is>
      </c>
      <c r="B39" s="9" t="n"/>
      <c r="C39" s="9" t="n"/>
      <c r="D39" s="9" t="n"/>
      <c r="E39" s="10" t="n"/>
    </row>
    <row r="40" ht="16" customHeight="1">
      <c r="A40" s="4" t="inlineStr">
        <is>
          <t>■ 사업목적  (Alt+Enter 줄바꿈 가능)</t>
        </is>
      </c>
    </row>
    <row r="41" ht="104" customHeight="1">
      <c r="A41" s="17" t="inlineStr">
        <is>
          <t>- AI에 대응한 개인정보 특화 기술개발을 통해 개인정보 침해 예방 등 안전 활용을 
지원하여 신뢰 기반의 AI 산업 육성
- (AI 대응 개인정보보호 강화기술 개발) AI 학습‧서비스 제공 및 활용 등 AI 전 단계
에서의 안전한 개인정보 활용 지원, 정보주체의 실질적 권리 보장을 위한 프라이버시 
수준 진단 등 다양한 AI 대응 개인정보보호 강화 기술개발</t>
        </is>
      </c>
      <c r="B41" s="9" t="n"/>
      <c r="C41" s="9" t="n"/>
      <c r="D41" s="9" t="n"/>
      <c r="E41" s="10" t="n"/>
    </row>
    <row r="42" ht="16" customHeight="1">
      <c r="A42" s="4" t="inlineStr">
        <is>
          <t>■ 사업내용</t>
        </is>
      </c>
    </row>
    <row r="43" ht="104" customHeight="1">
      <c r="A43" s="17" t="inlineStr">
        <is>
          <t>- AI에 대응한 개인정보 특화 기술개발을 통해 개인정보 침해 예방 등 안전 활용을 
지원하여 신뢰 기반의 AI 산업 육성
- (AI 대응 개인정보보호 강화기술 개발) AI 학습‧서비스 제공 및 활용 등 AI 전 단계
에서의 안전한 개인정보 활용 지원, 정보주체의 실질적 권리 보장을 위한 프라이버시 
수준 진단 등 다양한 AI 대응 개인정보보호 강화 기술개</t>
        </is>
      </c>
      <c r="B43" s="9" t="n"/>
      <c r="C43" s="9" t="n"/>
      <c r="D43" s="9" t="n"/>
      <c r="E43" s="10" t="n"/>
    </row>
    <row r="44" ht="13" customHeight="1">
      <c r="A44" s="28" t="inlineStr">
        <is>
          <t>출력일: 2026-03-23  |  KAIB 파이프라인 자동 생성  |  사업코드: 1033-305</t>
        </is>
      </c>
    </row>
  </sheetData>
  <mergeCells count="32">
    <mergeCell ref="A30:E30"/>
    <mergeCell ref="A39:E39"/>
    <mergeCell ref="A31:B31"/>
    <mergeCell ref="B9:E9"/>
    <mergeCell ref="A34:E34"/>
    <mergeCell ref="D1:E1"/>
    <mergeCell ref="B15:E15"/>
    <mergeCell ref="B20:E20"/>
    <mergeCell ref="A16:E16"/>
    <mergeCell ref="A41:E41"/>
    <mergeCell ref="A3:E3"/>
    <mergeCell ref="A12:E12"/>
    <mergeCell ref="B27:E27"/>
    <mergeCell ref="A26:E26"/>
    <mergeCell ref="A2:E2"/>
    <mergeCell ref="A33:B33"/>
    <mergeCell ref="A42:E42"/>
    <mergeCell ref="B21:E21"/>
    <mergeCell ref="A32:B32"/>
    <mergeCell ref="B11:E11"/>
    <mergeCell ref="A22:E22"/>
    <mergeCell ref="B14:E14"/>
    <mergeCell ref="A43:E43"/>
    <mergeCell ref="A38:E38"/>
    <mergeCell ref="A1:C1"/>
    <mergeCell ref="B13:E13"/>
    <mergeCell ref="B29:E29"/>
    <mergeCell ref="B19:E19"/>
    <mergeCell ref="A44:E44"/>
    <mergeCell ref="B10:E10"/>
    <mergeCell ref="B28:E28"/>
    <mergeCell ref="A40:E40"/>
  </mergeCells>
  <pageMargins left="0.59" right="0.39" top="0.75" bottom="0.75" header="0.31" footer="0.31"/>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56"/>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개인정보보호위원회</t>
        </is>
      </c>
      <c r="D1" s="2" t="inlineStr">
        <is>
          <t>코드: 1032-302</t>
        </is>
      </c>
    </row>
    <row r="2" ht="26" customHeight="1">
      <c r="A2" s="3" t="inlineStr">
        <is>
          <t>안전한 데이터 활용 지원</t>
        </is>
      </c>
    </row>
    <row r="3" ht="16" customHeight="1">
      <c r="A3" s="4" t="inlineStr">
        <is>
          <t>■ 기본 정보</t>
        </is>
      </c>
    </row>
    <row r="4" ht="17" customHeight="1">
      <c r="A4" s="5" t="inlineStr">
        <is>
          <t>회계유형</t>
        </is>
      </c>
      <c r="B4" s="6" t="inlineStr">
        <is>
          <t>일반회계</t>
        </is>
      </c>
      <c r="C4" s="5" t="inlineStr">
        <is>
          <t>분야</t>
        </is>
      </c>
      <c r="D4" s="6" t="inlineStr">
        <is>
          <t>일반·지방행정</t>
        </is>
      </c>
      <c r="E4" s="7" t="n"/>
    </row>
    <row r="5" ht="17" customHeight="1">
      <c r="A5" s="5" t="inlineStr">
        <is>
          <t>부문</t>
        </is>
      </c>
      <c r="B5" s="6" t="inlineStr">
        <is>
          <t>정부자원관리</t>
        </is>
      </c>
      <c r="C5" s="5" t="inlineStr">
        <is>
          <t>상태</t>
        </is>
      </c>
      <c r="D5" s="6" t="inlineStr">
        <is>
          <t>계속</t>
        </is>
      </c>
      <c r="E5" s="7" t="n"/>
    </row>
    <row r="6" ht="17" customHeight="1">
      <c r="A6" s="5" t="inlineStr">
        <is>
          <t>지원유형</t>
        </is>
      </c>
      <c r="B6" s="6" t="inlineStr">
        <is>
          <t>출연</t>
        </is>
      </c>
      <c r="C6" s="5" t="inlineStr">
        <is>
          <t>시행기관</t>
        </is>
      </c>
      <c r="D6" s="6" t="inlineStr">
        <is>
          <t>한국인터넷진흥원</t>
        </is>
      </c>
      <c r="E6" s="7" t="n"/>
    </row>
    <row r="7" ht="17" customHeight="1">
      <c r="A7" s="5" t="inlineStr">
        <is>
          <t>R&amp;D 여부</t>
        </is>
      </c>
      <c r="B7" s="6" t="inlineStr">
        <is>
          <t>X</t>
        </is>
      </c>
      <c r="C7" s="5" t="inlineStr">
        <is>
          <t>정보화</t>
        </is>
      </c>
      <c r="D7" s="6" t="inlineStr">
        <is>
          <t>X</t>
        </is>
      </c>
      <c r="E7" s="7" t="n"/>
    </row>
    <row r="8" ht="17" customHeight="1">
      <c r="A8" s="5" t="inlineStr">
        <is>
          <t>보조율</t>
        </is>
      </c>
      <c r="B8" s="6" t="inlineStr"/>
      <c r="C8" s="5" t="inlineStr">
        <is>
          <t>융자율</t>
        </is>
      </c>
      <c r="D8" s="6" t="inlineStr"/>
      <c r="E8" s="7" t="n"/>
    </row>
    <row r="9" ht="17" customHeight="1">
      <c r="A9" s="5" t="inlineStr">
        <is>
          <t>프로그램</t>
        </is>
      </c>
      <c r="B9" s="8" t="inlineStr">
        <is>
          <t>[1000] 개인정보보호 기반 데이터 활용 선도</t>
        </is>
      </c>
      <c r="C9" s="9" t="n"/>
      <c r="D9" s="9" t="n"/>
      <c r="E9" s="10" t="n"/>
    </row>
    <row r="10" ht="17" customHeight="1">
      <c r="A10" s="5" t="inlineStr">
        <is>
          <t>단위사업</t>
        </is>
      </c>
      <c r="B10" s="8" t="inlineStr">
        <is>
          <t>[1032] 개인정보활용지원</t>
        </is>
      </c>
      <c r="C10" s="9" t="n"/>
      <c r="D10" s="9" t="n"/>
      <c r="E10" s="10" t="n"/>
    </row>
    <row r="11" ht="17" customHeight="1">
      <c r="A11" s="5" t="inlineStr">
        <is>
          <t>세부사업</t>
        </is>
      </c>
      <c r="B11" s="8" t="inlineStr">
        <is>
          <t>[302] 안전한 데이터 활용 지원</t>
        </is>
      </c>
      <c r="C11" s="9" t="n"/>
      <c r="D11" s="9" t="n"/>
      <c r="E11" s="10" t="n"/>
    </row>
    <row r="12" ht="16" customHeight="1">
      <c r="A12" s="4" t="inlineStr">
        <is>
          <t>■ 사업 개요</t>
        </is>
      </c>
    </row>
    <row r="13" ht="17" customHeight="1">
      <c r="A13" s="5" t="inlineStr">
        <is>
          <t>사업규모</t>
        </is>
      </c>
      <c r="B13" s="17" t="inlineStr">
        <is>
          <t>- 총사업비 : 해당없음</t>
        </is>
      </c>
      <c r="C13" s="9" t="n"/>
      <c r="D13" s="9" t="n"/>
      <c r="E13" s="10" t="n"/>
    </row>
    <row r="14" ht="17" customHeight="1">
      <c r="A14" s="5" t="inlineStr">
        <is>
          <t>사업수혜자</t>
        </is>
      </c>
      <c r="B14" s="17" t="inlineStr">
        <is>
          <t>국민</t>
        </is>
      </c>
      <c r="C14" s="9" t="n"/>
      <c r="D14" s="9" t="n"/>
      <c r="E14" s="10" t="n"/>
    </row>
    <row r="15" ht="17" customHeight="1">
      <c r="A15" s="5" t="inlineStr">
        <is>
          <t>사업시행방법</t>
        </is>
      </c>
      <c r="B15" s="17" t="inlineStr">
        <is>
          <t>출연</t>
        </is>
      </c>
      <c r="C15" s="9" t="n"/>
      <c r="D15" s="9" t="n"/>
      <c r="E15" s="10" t="n"/>
    </row>
    <row r="16" ht="16" customHeight="1">
      <c r="A16" s="4" t="inlineStr">
        <is>
          <t>■ 예산 현황 (단위: 백만원)  ┃  증감액·증감률 자동계산</t>
        </is>
      </c>
    </row>
    <row r="17" ht="17" customHeight="1">
      <c r="A17" s="11" t="inlineStr">
        <is>
          <t>2024 결산</t>
        </is>
      </c>
      <c r="B17" s="11" t="inlineStr">
        <is>
          <t>2025 본예산</t>
        </is>
      </c>
      <c r="C17" s="11" t="inlineStr">
        <is>
          <t>2026 확정</t>
        </is>
      </c>
      <c r="D17" s="11" t="inlineStr">
        <is>
          <t>증감액 ▶자동</t>
        </is>
      </c>
      <c r="E17" s="11" t="inlineStr">
        <is>
          <t>증감률(%) ▶자동</t>
        </is>
      </c>
    </row>
    <row r="18" ht="17" customHeight="1">
      <c r="A18" s="12" t="n">
        <v>3328</v>
      </c>
      <c r="B18" s="12" t="n">
        <v>3564</v>
      </c>
      <c r="C18" s="13" t="n">
        <v>6456</v>
      </c>
      <c r="D18" s="14">
        <f>IF(AND(C18&lt;&gt;"",B18&lt;&gt;""),C18-B18,"")</f>
        <v/>
      </c>
      <c r="E18" s="15">
        <f>IF(AND(C18&lt;&gt;"",B18&lt;&gt;"",B18&lt;&gt;0),(C18-B18)/B18*100,"")</f>
        <v/>
      </c>
    </row>
    <row r="19" ht="16" customHeight="1">
      <c r="A19" s="5" t="inlineStr">
        <is>
          <t>2025 추경</t>
        </is>
      </c>
      <c r="B19" s="12" t="n">
        <v>3564</v>
      </c>
      <c r="C19" s="9" t="n"/>
      <c r="D19" s="9" t="n"/>
      <c r="E19" s="10" t="n"/>
    </row>
    <row r="20" ht="16" customHeight="1">
      <c r="A20" s="5" t="inlineStr">
        <is>
          <t>2026 요구</t>
        </is>
      </c>
      <c r="B20" s="12" t="n">
        <v>6456</v>
      </c>
      <c r="C20" s="9" t="n"/>
      <c r="D20" s="9" t="n"/>
      <c r="E20" s="10" t="n"/>
    </row>
    <row r="21" ht="16" customHeight="1">
      <c r="A21" s="5" t="inlineStr">
        <is>
          <t>연도별 이력</t>
        </is>
      </c>
      <c r="B21" s="16" t="inlineStr">
        <is>
          <t>2022: 4,929  2023: 4,992  2024: 3,328  2025: 3,564  2026: 6,456</t>
        </is>
      </c>
      <c r="C21" s="9" t="n"/>
      <c r="D21" s="9" t="n"/>
      <c r="E21" s="10" t="n"/>
    </row>
    <row r="22" ht="16" customHeight="1">
      <c r="A22" s="4" t="inlineStr">
        <is>
          <t>■ 사업기간 및 총사업비</t>
        </is>
      </c>
    </row>
    <row r="23" ht="17" customHeight="1">
      <c r="A23" s="5" t="inlineStr">
        <is>
          <t>사업시작연도</t>
        </is>
      </c>
      <c r="B23" s="12" t="n">
        <v>2020</v>
      </c>
      <c r="C23" s="5" t="inlineStr">
        <is>
          <t>사업종료연도</t>
        </is>
      </c>
      <c r="D23" s="6" t="inlineStr"/>
      <c r="E23" s="7" t="n"/>
    </row>
    <row r="24" ht="17" customHeight="1">
      <c r="A24" s="5" t="inlineStr">
        <is>
          <t>사업기간(원문)</t>
        </is>
      </c>
      <c r="B24" s="6" t="inlineStr">
        <is>
          <t>2020년 ~ 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7" t="inlineStr">
        <is>
          <t>데이터</t>
        </is>
      </c>
      <c r="C27" s="9" t="n"/>
      <c r="D27" s="9" t="n"/>
      <c r="E27" s="10" t="n"/>
    </row>
    <row r="28" ht="17" customHeight="1">
      <c r="A28" s="5" t="inlineStr">
        <is>
          <t>키워드</t>
        </is>
      </c>
      <c r="B28" s="17" t="inlineStr">
        <is>
          <t>안전한, 데이터, 활용, 지원</t>
        </is>
      </c>
      <c r="C28" s="9" t="n"/>
      <c r="D28" s="9" t="n"/>
      <c r="E28" s="10" t="n"/>
    </row>
    <row r="29" ht="16" customHeight="1">
      <c r="A29" s="4" t="inlineStr">
        <is>
          <t>■ 내역사업 (3건)  ┃  빈 행 없이 연속 입력</t>
        </is>
      </c>
    </row>
    <row r="30" ht="16" customHeight="1">
      <c r="A30" s="11" t="inlineStr">
        <is>
          <t>내역사업명</t>
        </is>
      </c>
      <c r="B30" s="10" t="n"/>
      <c r="C30" s="11" t="inlineStr">
        <is>
          <t>2025</t>
        </is>
      </c>
      <c r="D30" s="11" t="inlineStr">
        <is>
          <t>2026</t>
        </is>
      </c>
    </row>
    <row r="31" ht="17" customHeight="1">
      <c r="A31" s="18" t="inlineStr">
        <is>
          <t>가명정보 제도운영</t>
        </is>
      </c>
      <c r="B31" s="10" t="n"/>
      <c r="C31" s="19" t="n">
        <v>314</v>
      </c>
      <c r="D31" s="19" t="n">
        <v>314</v>
      </c>
      <c r="E31" s="19" t="n">
        <v>314</v>
      </c>
    </row>
    <row r="32" ht="17" customHeight="1">
      <c r="A32" s="8" t="inlineStr">
        <is>
          <t>가명정보 활용 지원 인프라 운영</t>
        </is>
      </c>
      <c r="B32" s="10" t="n"/>
      <c r="C32" s="12" t="n">
        <v>2614</v>
      </c>
      <c r="D32" s="12" t="n">
        <v>2214</v>
      </c>
      <c r="E32" s="12" t="n">
        <v>5742</v>
      </c>
    </row>
    <row r="33" ht="17" customHeight="1">
      <c r="A33" s="18" t="inlineStr">
        <is>
          <t>가명정보 활용지원 시스템 운영</t>
        </is>
      </c>
      <c r="B33" s="10" t="n"/>
      <c r="C33" s="19" t="n">
        <v>400</v>
      </c>
      <c r="D33" s="19" t="n">
        <v>1036</v>
      </c>
      <c r="E33" s="19" t="n">
        <v>400</v>
      </c>
    </row>
    <row r="34" ht="16" customHeight="1">
      <c r="A34" s="4" t="inlineStr">
        <is>
          <t>■ 사업관리자 (3건)</t>
        </is>
      </c>
    </row>
    <row r="35" ht="16" customHeight="1">
      <c r="A35" s="11" t="inlineStr">
        <is>
          <t>내역사업명</t>
        </is>
      </c>
      <c r="B35" s="11" t="inlineStr">
        <is>
          <t>소관부서</t>
        </is>
      </c>
      <c r="C35" s="11" t="inlineStr">
        <is>
          <t>시행기관</t>
        </is>
      </c>
      <c r="D35" s="11" t="inlineStr">
        <is>
          <t>담당자</t>
        </is>
      </c>
      <c r="E35" s="11" t="inlineStr">
        <is>
          <t>연락처</t>
        </is>
      </c>
    </row>
    <row r="36" ht="16" customHeight="1">
      <c r="A36" s="20" t="inlineStr">
        <is>
          <t>가명정보 제도운영</t>
        </is>
      </c>
      <c r="B36" s="20" t="inlineStr">
        <is>
          <t>개인정보정책국</t>
        </is>
      </c>
      <c r="C36" s="20" t="inlineStr">
        <is>
          <t>데이터안전정책과</t>
        </is>
      </c>
      <c r="D36" s="20" t="inlineStr"/>
      <c r="E36" s="20" t="inlineStr"/>
    </row>
    <row r="37" ht="16" customHeight="1">
      <c r="A37" s="21" t="inlineStr">
        <is>
          <t>가명정보 활용 지원 인프라 운영</t>
        </is>
      </c>
      <c r="B37" s="21" t="inlineStr">
        <is>
          <t>개인정보정책국</t>
        </is>
      </c>
      <c r="C37" s="21" t="inlineStr">
        <is>
          <t>데이터안전정책과</t>
        </is>
      </c>
      <c r="D37" s="21" t="inlineStr"/>
      <c r="E37" s="21" t="inlineStr"/>
    </row>
    <row r="38" ht="16" customHeight="1">
      <c r="A38" s="20" t="inlineStr">
        <is>
          <t>가명정보 활용지원 시스템 운영</t>
        </is>
      </c>
      <c r="B38" s="20" t="inlineStr">
        <is>
          <t>개인정보정책국</t>
        </is>
      </c>
      <c r="C38" s="20" t="inlineStr">
        <is>
          <t>데이터안전정책과</t>
        </is>
      </c>
      <c r="D38" s="20" t="inlineStr"/>
      <c r="E38" s="20" t="inlineStr"/>
    </row>
    <row r="39" ht="16" customHeight="1">
      <c r="A39" s="4" t="inlineStr">
        <is>
          <t>■ 사업연혁 (9건)</t>
        </is>
      </c>
    </row>
    <row r="40" ht="15" customHeight="1">
      <c r="A40" s="11" t="inlineStr">
        <is>
          <t>연도</t>
        </is>
      </c>
      <c r="B40" s="11" t="inlineStr">
        <is>
          <t>주요 내용</t>
        </is>
      </c>
      <c r="C40" s="9" t="n"/>
      <c r="D40" s="9" t="n"/>
      <c r="E40" s="10" t="n"/>
    </row>
    <row r="41" ht="39" customHeight="1">
      <c r="A41" s="24" t="n">
        <v>2021</v>
      </c>
      <c r="B41" s="25" t="inlineStr">
        <is>
          <t>o 가명정보 관련 개인정보 보호법 개정 후속조치 지원 o 가명처리 테스트베드를 가명처리 지원센터로 기능 확장 및 운영 o 가명정보 컨설팅 운영 및 전문가 풀 구성 o 가명처리 가이드라인 재정 o 강원 가명정보활용지원센터 구축 o 가명정보 결합지원시스템 구축</t>
        </is>
      </c>
      <c r="C41" s="9" t="n"/>
      <c r="D41" s="9" t="n"/>
      <c r="E41" s="10" t="n"/>
    </row>
    <row r="42" ht="26" customHeight="1">
      <c r="A42" s="26" t="n">
        <v>2022</v>
      </c>
      <c r="B42" s="27" t="inlineStr">
        <is>
          <t>o 가명처리 가이드라인 개정 o 가명정보 컨설팅 운영 및 전문가 풀 운영 o 부산 가명정보활용지원센터 구축 추진(~8월) o 가명정보 활용종합지원플랫폼 구축(~12월)</t>
        </is>
      </c>
      <c r="C42" s="9" t="n"/>
      <c r="D42" s="9" t="n"/>
      <c r="E42" s="10" t="n"/>
    </row>
    <row r="43" ht="39" customHeight="1">
      <c r="A43" s="24" t="n">
        <v>2023</v>
      </c>
      <c r="B43" s="25" t="inlineStr">
        <is>
          <t>o 가명정보의 결합 및 반출 등에 관한 고시 재 개정(1월) o 가명정보 활용 확대방안 발표(기재부 포함 비경제부처 합동, 7.21.) o 인천가명정보활용지원센터 구축 추진(~7월) o 대전 가명정보활용지원센터 구축 추진(~11월) o 가명정보 결합지원시스템 가명정보 활용지원플랫폼으로 통합(~12월)</t>
        </is>
      </c>
      <c r="C43" s="9" t="n"/>
      <c r="D43" s="9" t="n"/>
      <c r="E43" s="10" t="n"/>
    </row>
    <row r="44" ht="52" customHeight="1">
      <c r="A44" s="26" t="n">
        <v>2024</v>
      </c>
      <c r="B44" s="27" t="inlineStr">
        <is>
          <t>o 가명정보 처리 가이드라인 개정(2월) o 통계청 개인정보 안심구역 구축 추진(~3월) o 제2기 가명정보 전문가 풀 모집(~7월)‧운영(~12월) o 대구 가명정보 활용지원센터 구축(~7월) o 국립암센터 개인정보 안심구역 개소(~7월) o 가명정보 지원 플랫폼 운영(~12월) o 한국사회보장정보원, 더존비즈온 개인정보 안심구역 개소(12월)</t>
        </is>
      </c>
      <c r="C44" s="9" t="n"/>
      <c r="D44" s="9" t="n"/>
      <c r="E44" s="10" t="n"/>
    </row>
    <row r="45" ht="16" customHeight="1">
      <c r="A45" s="24" t="n">
        <v>2025</v>
      </c>
      <c r="B45" s="25" t="inlineStr">
        <is>
          <t>o ｢가명정보 활용 지원센터 발전방안｣ 발표(4월)</t>
        </is>
      </c>
      <c r="C45" s="9" t="n"/>
      <c r="D45" s="9" t="n"/>
      <c r="E45" s="10" t="n"/>
    </row>
    <row r="46" ht="16" customHeight="1">
      <c r="A46" s="26" t="n">
        <v>2022</v>
      </c>
      <c r="B46" s="27" t="inlineStr">
        <is>
          <t>- 해당없음</t>
        </is>
      </c>
      <c r="C46" s="9" t="n"/>
      <c r="D46" s="9" t="n"/>
      <c r="E46" s="10" t="n"/>
    </row>
    <row r="47" ht="16" customHeight="1">
      <c r="A47" s="24" t="n">
        <v>2023</v>
      </c>
      <c r="B47" s="25" t="inlineStr">
        <is>
          <t>- 해당없음</t>
        </is>
      </c>
      <c r="C47" s="9" t="n"/>
      <c r="D47" s="9" t="n"/>
      <c r="E47" s="10" t="n"/>
    </row>
    <row r="48" ht="16" customHeight="1">
      <c r="A48" s="26" t="n">
        <v>2024</v>
      </c>
      <c r="B48" s="27" t="inlineStr">
        <is>
          <t>- 해당없음</t>
        </is>
      </c>
      <c r="C48" s="9" t="n"/>
      <c r="D48" s="9" t="n"/>
      <c r="E48" s="10" t="n"/>
    </row>
    <row r="49" ht="16" customHeight="1">
      <c r="A49" s="24" t="n">
        <v>2025</v>
      </c>
      <c r="B49" s="25" t="inlineStr">
        <is>
          <t>- 해당없음</t>
        </is>
      </c>
      <c r="C49" s="9" t="n"/>
      <c r="D49" s="9" t="n"/>
      <c r="E49" s="10" t="n"/>
    </row>
    <row r="50" ht="16" customHeight="1">
      <c r="A50" s="4" t="inlineStr">
        <is>
          <t>■ 효과성</t>
        </is>
      </c>
    </row>
    <row r="51" ht="156" customHeight="1">
      <c r="A51" s="17" t="inlineStr">
        <is>
          <t>□사업영향, 산출물 성과지표 등
①’22~’26년도 성과계획서 상 성과지표 및 최근 5년간 성과 달성도
성과지표
구분
'22
'23
'24
'25
'26
‘26목표치 
산출근거
측정산식
(또는 측정방법)
자료수집방법
(또는 자료출처)
가명정보 
지원플랫폼 
서비스 이용 
건수(건)
목표
신규
신규
신규
2,043
2,247 ㅇ 데이터 활용 수요 증가 
등 정책 환경 변화를 
반영하여 '25년 목표치
에서 10% 상향한 도전
적인 목표치인 2,247건
으로 설정
가명정보 
지원플랫폼 내 
각 서비스 이용 
건수의 합계
가명정보지원
플랫폼에서 각 
서비스 이용 
건수 확인
실적
신규
신규
신규
-
-
달성도신규
신규
신규
-
-
②성과지표 이외의 연도별 사업추진 경과 및 실적
2021
o 가명정보 관련 개인정보 보호법 개정 후속조치 지원
o 가명처리 테스트베드를 가명처리 지원센터로 기능 확장 및 운영
o 가명정보 컨설팅 운영 및 전문가 풀 구성
o 가명처리 가이드라인 재정
o 강원 가명</t>
        </is>
      </c>
      <c r="B51" s="9" t="n"/>
      <c r="C51" s="9" t="n"/>
      <c r="D51" s="9" t="n"/>
      <c r="E51" s="10" t="n"/>
    </row>
    <row r="52" ht="16" customHeight="1">
      <c r="A52" s="4" t="inlineStr">
        <is>
          <t>■ 사업목적  (Alt+Enter 줄바꿈 가능)</t>
        </is>
      </c>
    </row>
    <row r="53" ht="130" customHeight="1">
      <c r="A53" s="17" t="inlineStr">
        <is>
          <t>- (가명정보 제도 운영) 안정적 제도 운영을 위한 모니터링, 가명정보 결합전문기관 
관리·감독, 제도‧기술 표준 선점을 위한 연구 등
- (가명정보 활용 지원 인프라 운영) 가명정보 처리 지원 및 안전성 검증, 전문인력 
공급 지원, 개인정보가 포함된 데이터 분석을 위한 시설‧분석도구 지원 등
- (가명정보 활용 지원 시스템 운영) 온라인 채널로서 각종 정보(제도, 기술, 국제동향,
사례, 법령해석 등) 제공, 가명처리 소프트웨어 지원 등</t>
        </is>
      </c>
      <c r="B53" s="9" t="n"/>
      <c r="C53" s="9" t="n"/>
      <c r="D53" s="9" t="n"/>
      <c r="E53" s="10" t="n"/>
    </row>
    <row r="54" ht="16" customHeight="1">
      <c r="A54" s="4" t="inlineStr">
        <is>
          <t>■ 사업내용</t>
        </is>
      </c>
    </row>
    <row r="55" ht="104" customHeight="1">
      <c r="A55" s="17" t="inlineStr">
        <is>
          <t xml:space="preserve">- (가명정보 제도 운영) 안정적 제도 운영을 위한 모니터링, 가명정보 결합전문기관 
관리·감독, 제도‧기술 표준 선점을 위한 연구 등
- (가명정보 활용 지원 인프라 운영) 가명정보 처리 지원 및 안전성 검증, 전문인력 
공급 지원, 개인정보가 포함된 데이터 분석을 위한 시설‧분석도구 지원 등
- (가명정보 활용 지원 시스템 운영) 온라인 채널로서 각종 </t>
        </is>
      </c>
      <c r="B55" s="9" t="n"/>
      <c r="C55" s="9" t="n"/>
      <c r="D55" s="9" t="n"/>
      <c r="E55" s="10" t="n"/>
    </row>
    <row r="56" ht="13" customHeight="1">
      <c r="A56" s="28" t="inlineStr">
        <is>
          <t>출력일: 2026-03-23  |  KAIB 파이프라인 자동 생성  |  사업코드: 1032-302</t>
        </is>
      </c>
    </row>
  </sheetData>
  <mergeCells count="43">
    <mergeCell ref="A39:E39"/>
    <mergeCell ref="A31:B31"/>
    <mergeCell ref="B9:E9"/>
    <mergeCell ref="A30:B30"/>
    <mergeCell ref="A34:E34"/>
    <mergeCell ref="B40:E40"/>
    <mergeCell ref="B49:E49"/>
    <mergeCell ref="D1:E1"/>
    <mergeCell ref="A51:E51"/>
    <mergeCell ref="B15:E15"/>
    <mergeCell ref="B20:E20"/>
    <mergeCell ref="B45:E45"/>
    <mergeCell ref="B41:E41"/>
    <mergeCell ref="A16:E16"/>
    <mergeCell ref="A54:E54"/>
    <mergeCell ref="B47:E47"/>
    <mergeCell ref="B46:E46"/>
    <mergeCell ref="A56:E56"/>
    <mergeCell ref="A3:E3"/>
    <mergeCell ref="A55:E55"/>
    <mergeCell ref="A12:E12"/>
    <mergeCell ref="B27:E27"/>
    <mergeCell ref="A50:E50"/>
    <mergeCell ref="A26:E26"/>
    <mergeCell ref="A2:E2"/>
    <mergeCell ref="B43:E43"/>
    <mergeCell ref="A33:B33"/>
    <mergeCell ref="B21:E21"/>
    <mergeCell ref="B48:E48"/>
    <mergeCell ref="A32:B32"/>
    <mergeCell ref="B11:E11"/>
    <mergeCell ref="A22:E22"/>
    <mergeCell ref="B42:E42"/>
    <mergeCell ref="B14:E14"/>
    <mergeCell ref="A53:E53"/>
    <mergeCell ref="A29:E29"/>
    <mergeCell ref="A1:C1"/>
    <mergeCell ref="A52:E52"/>
    <mergeCell ref="B13:E13"/>
    <mergeCell ref="B44:E44"/>
    <mergeCell ref="B19:E19"/>
    <mergeCell ref="B10:E10"/>
    <mergeCell ref="B28:E28"/>
  </mergeCells>
  <pageMargins left="0.59" right="0.39" top="0.75" bottom="0.75" header="0.31" footer="0.31"/>
  <pageSetup orientation="portrait" paperSize="9" fitToHeight="0" fitToWidth="1"/>
</worksheet>
</file>

<file path=xl/worksheets/sheet5.xml><?xml version="1.0" encoding="utf-8"?>
<worksheet xmlns="http://schemas.openxmlformats.org/spreadsheetml/2006/main">
  <sheetPr>
    <outlinePr summaryBelow="1" summaryRight="1"/>
    <pageSetUpPr fitToPage="1"/>
  </sheetPr>
  <dimension ref="A1:E47"/>
  <sheetViews>
    <sheetView workbookViewId="0">
      <selection activeCell="A1" sqref="A1"/>
    </sheetView>
  </sheetViews>
  <sheetFormatPr baseColWidth="8" defaultRowHeight="15"/>
  <cols>
    <col width="14" customWidth="1" min="1" max="1"/>
    <col width="28" customWidth="1" min="2" max="2"/>
    <col width="12" customWidth="1" min="3" max="3"/>
    <col width="12" customWidth="1" min="4" max="4"/>
    <col width="12" customWidth="1" min="5" max="5"/>
  </cols>
  <sheetData>
    <row r="1" ht="20" customHeight="1">
      <c r="A1" s="1" t="inlineStr">
        <is>
          <t>경찰청</t>
        </is>
      </c>
      <c r="D1" s="2" t="inlineStr">
        <is>
          <t>코드: 1132-511</t>
        </is>
      </c>
    </row>
    <row r="2" ht="26" customHeight="1">
      <c r="A2" s="3" t="inlineStr">
        <is>
          <t>112시스템운영(정보화)</t>
        </is>
      </c>
    </row>
    <row r="3" ht="16" customHeight="1">
      <c r="A3" s="4" t="inlineStr">
        <is>
          <t>■ 기본 정보</t>
        </is>
      </c>
    </row>
    <row r="4" ht="17" customHeight="1">
      <c r="A4" s="5" t="inlineStr">
        <is>
          <t>회계유형</t>
        </is>
      </c>
      <c r="B4" s="6" t="inlineStr">
        <is>
          <t>일반회계</t>
        </is>
      </c>
      <c r="C4" s="5" t="inlineStr">
        <is>
          <t>분야</t>
        </is>
      </c>
      <c r="D4" s="6" t="inlineStr">
        <is>
          <t>공공질서 및 안전</t>
        </is>
      </c>
      <c r="E4" s="7" t="n"/>
    </row>
    <row r="5" ht="17" customHeight="1">
      <c r="A5" s="5" t="inlineStr">
        <is>
          <t>부문</t>
        </is>
      </c>
      <c r="B5" s="6" t="inlineStr">
        <is>
          <t>경찰</t>
        </is>
      </c>
      <c r="C5" s="5" t="inlineStr">
        <is>
          <t>상태</t>
        </is>
      </c>
      <c r="D5" s="6" t="inlineStr">
        <is>
          <t>계속</t>
        </is>
      </c>
      <c r="E5" s="7" t="n"/>
    </row>
    <row r="6" ht="17" customHeight="1">
      <c r="A6" s="5" t="inlineStr">
        <is>
          <t>지원유형</t>
        </is>
      </c>
      <c r="B6" s="6" t="inlineStr">
        <is>
          <t>직접</t>
        </is>
      </c>
      <c r="C6" s="5" t="inlineStr">
        <is>
          <t>시행기관</t>
        </is>
      </c>
      <c r="D6" s="6" t="inlineStr">
        <is>
          <t>치안상황과</t>
        </is>
      </c>
      <c r="E6" s="7" t="n"/>
    </row>
    <row r="7" ht="17" customHeight="1">
      <c r="A7" s="5" t="inlineStr">
        <is>
          <t>R&amp;D 여부</t>
        </is>
      </c>
      <c r="B7" s="6" t="inlineStr">
        <is>
          <t>X</t>
        </is>
      </c>
      <c r="C7" s="5" t="inlineStr">
        <is>
          <t>정보화</t>
        </is>
      </c>
      <c r="D7" s="6" t="inlineStr">
        <is>
          <t>O</t>
        </is>
      </c>
      <c r="E7" s="7" t="n"/>
    </row>
    <row r="8" ht="17" customHeight="1">
      <c r="A8" s="5" t="inlineStr">
        <is>
          <t>보조율</t>
        </is>
      </c>
      <c r="B8" s="6" t="inlineStr"/>
      <c r="C8" s="5" t="inlineStr">
        <is>
          <t>융자율</t>
        </is>
      </c>
      <c r="D8" s="6" t="inlineStr"/>
      <c r="E8" s="7" t="n"/>
    </row>
    <row r="9" ht="17" customHeight="1">
      <c r="A9" s="5" t="inlineStr">
        <is>
          <t>프로그램</t>
        </is>
      </c>
      <c r="B9" s="8" t="inlineStr">
        <is>
          <t>[1100] 범죄예방및치안상황대응강화</t>
        </is>
      </c>
      <c r="C9" s="9" t="n"/>
      <c r="D9" s="9" t="n"/>
      <c r="E9" s="10" t="n"/>
    </row>
    <row r="10" ht="17" customHeight="1">
      <c r="A10" s="5" t="inlineStr">
        <is>
          <t>단위사업</t>
        </is>
      </c>
      <c r="B10" s="8" t="inlineStr">
        <is>
          <t>[1132] 치안상황관리</t>
        </is>
      </c>
      <c r="C10" s="9" t="n"/>
      <c r="D10" s="9" t="n"/>
      <c r="E10" s="10" t="n"/>
    </row>
    <row r="11" ht="17" customHeight="1">
      <c r="A11" s="5" t="inlineStr">
        <is>
          <t>세부사업</t>
        </is>
      </c>
      <c r="B11" s="8" t="inlineStr">
        <is>
          <t>[511] 112시스템운영(정보화)</t>
        </is>
      </c>
      <c r="C11" s="9" t="n"/>
      <c r="D11" s="9" t="n"/>
      <c r="E11" s="10" t="n"/>
    </row>
    <row r="12" ht="16" customHeight="1">
      <c r="A12" s="4" t="inlineStr">
        <is>
          <t>■ 사업 개요</t>
        </is>
      </c>
    </row>
    <row r="13" ht="17" customHeight="1">
      <c r="A13" s="5" t="inlineStr">
        <is>
          <t>사업규모</t>
        </is>
      </c>
      <c r="B13" s="17" t="inlineStr">
        <is>
          <t>- 총사업비(해당되는 경우에만 기재) : 해당없음</t>
        </is>
      </c>
      <c r="C13" s="9" t="n"/>
      <c r="D13" s="9" t="n"/>
      <c r="E13" s="10" t="n"/>
    </row>
    <row r="14" ht="17" customHeight="1">
      <c r="A14" s="5" t="inlineStr">
        <is>
          <t>사업수혜자</t>
        </is>
      </c>
      <c r="B14" s="17" t="inlineStr">
        <is>
          <t>국민</t>
        </is>
      </c>
      <c r="C14" s="9" t="n"/>
      <c r="D14" s="9" t="n"/>
      <c r="E14" s="10" t="n"/>
    </row>
    <row r="15" ht="17" customHeight="1">
      <c r="A15" s="5" t="inlineStr">
        <is>
          <t>사업시행방법</t>
        </is>
      </c>
      <c r="B15" s="17" t="inlineStr">
        <is>
          <t>직접수행</t>
        </is>
      </c>
      <c r="C15" s="9" t="n"/>
      <c r="D15" s="9" t="n"/>
      <c r="E15" s="10" t="n"/>
    </row>
    <row r="16" ht="16" customHeight="1">
      <c r="A16" s="4" t="inlineStr">
        <is>
          <t>■ 예산 현황 (단위: 백만원)  ┃  증감액·증감률 자동계산</t>
        </is>
      </c>
    </row>
    <row r="17" ht="17" customHeight="1">
      <c r="A17" s="11" t="inlineStr">
        <is>
          <t>2024 결산</t>
        </is>
      </c>
      <c r="B17" s="11" t="inlineStr">
        <is>
          <t>2025 본예산</t>
        </is>
      </c>
      <c r="C17" s="11" t="inlineStr">
        <is>
          <t>2026 확정</t>
        </is>
      </c>
      <c r="D17" s="11" t="inlineStr">
        <is>
          <t>증감액 ▶자동</t>
        </is>
      </c>
      <c r="E17" s="11" t="inlineStr">
        <is>
          <t>증감률(%) ▶자동</t>
        </is>
      </c>
    </row>
    <row r="18" ht="17" customHeight="1">
      <c r="A18" s="12" t="n">
        <v>19471</v>
      </c>
      <c r="B18" s="12" t="n">
        <v>16186</v>
      </c>
      <c r="C18" s="13" t="n">
        <v>21372</v>
      </c>
      <c r="D18" s="14">
        <f>IF(AND(C18&lt;&gt;"",B18&lt;&gt;""),C18-B18,"")</f>
        <v/>
      </c>
      <c r="E18" s="15">
        <f>IF(AND(C18&lt;&gt;"",B18&lt;&gt;"",B18&lt;&gt;0),(C18-B18)/B18*100,"")</f>
        <v/>
      </c>
    </row>
    <row r="19" ht="16" customHeight="1">
      <c r="A19" s="5" t="inlineStr">
        <is>
          <t>2025 추경</t>
        </is>
      </c>
      <c r="B19" s="12" t="n">
        <v>16186</v>
      </c>
      <c r="C19" s="9" t="n"/>
      <c r="D19" s="9" t="n"/>
      <c r="E19" s="10" t="n"/>
    </row>
    <row r="20" ht="16" customHeight="1">
      <c r="A20" s="5" t="inlineStr">
        <is>
          <t>2026 요구</t>
        </is>
      </c>
      <c r="B20" s="12" t="n">
        <v>20916</v>
      </c>
      <c r="C20" s="9" t="n"/>
      <c r="D20" s="9" t="n"/>
      <c r="E20" s="10" t="n"/>
    </row>
    <row r="21" ht="16" customHeight="1">
      <c r="A21" s="5" t="inlineStr">
        <is>
          <t>연도별 이력</t>
        </is>
      </c>
      <c r="B21" s="16" t="inlineStr">
        <is>
          <t>2022: 25,092  2023: 22,613  2024: 19,521  2025: 16,186  2026: 21,372</t>
        </is>
      </c>
      <c r="C21" s="9" t="n"/>
      <c r="D21" s="9" t="n"/>
      <c r="E21" s="10" t="n"/>
    </row>
    <row r="22" ht="16" customHeight="1">
      <c r="A22" s="4" t="inlineStr">
        <is>
          <t>■ 사업기간 및 총사업비</t>
        </is>
      </c>
    </row>
    <row r="23" ht="17" customHeight="1">
      <c r="A23" s="5" t="inlineStr">
        <is>
          <t>사업시작연도</t>
        </is>
      </c>
      <c r="B23" s="6" t="inlineStr"/>
      <c r="C23" s="5" t="inlineStr">
        <is>
          <t>사업종료연도</t>
        </is>
      </c>
      <c r="D23" s="6" t="inlineStr"/>
      <c r="E23" s="7" t="n"/>
    </row>
    <row r="24" ht="17" customHeight="1">
      <c r="A24" s="5" t="inlineStr">
        <is>
          <t>사업기간(원문)</t>
        </is>
      </c>
      <c r="B24" s="6" t="inlineStr">
        <is>
          <t>계속</t>
        </is>
      </c>
      <c r="C24" s="5" t="inlineStr">
        <is>
          <t>사업기간(년)</t>
        </is>
      </c>
      <c r="D24" s="6" t="inlineStr">
        <is>
          <t>계속</t>
        </is>
      </c>
      <c r="E24" s="7" t="n"/>
    </row>
    <row r="25" ht="17" customHeight="1">
      <c r="A25" s="5" t="inlineStr">
        <is>
          <t>총사업비</t>
        </is>
      </c>
      <c r="B25" s="6" t="inlineStr"/>
      <c r="C25" s="5" t="inlineStr">
        <is>
          <t>국고</t>
        </is>
      </c>
      <c r="D25" s="6" t="inlineStr"/>
      <c r="E25" s="7" t="n"/>
    </row>
    <row r="26" ht="16" customHeight="1">
      <c r="A26" s="4" t="inlineStr">
        <is>
          <t>■ AI 분류</t>
        </is>
      </c>
    </row>
    <row r="27" ht="17" customHeight="1">
      <c r="A27" s="5" t="inlineStr">
        <is>
          <t>AI 도메인</t>
        </is>
      </c>
      <c r="B27" s="17" t="inlineStr">
        <is>
          <t>법률/치안</t>
        </is>
      </c>
      <c r="C27" s="9" t="n"/>
      <c r="D27" s="9" t="n"/>
      <c r="E27" s="10" t="n"/>
    </row>
    <row r="28" ht="17" customHeight="1">
      <c r="A28" s="5" t="inlineStr">
        <is>
          <t>키워드</t>
        </is>
      </c>
      <c r="B28" s="17" t="inlineStr">
        <is>
          <t>112시스템운영</t>
        </is>
      </c>
      <c r="C28" s="9" t="n"/>
      <c r="D28" s="9" t="n"/>
      <c r="E28" s="10" t="n"/>
    </row>
    <row r="29" ht="16" customHeight="1">
      <c r="A29" s="4" t="inlineStr">
        <is>
          <t>■ 내역사업 (2건)  ┃  빈 행 없이 연속 입력</t>
        </is>
      </c>
    </row>
    <row r="30" ht="16" customHeight="1">
      <c r="A30" s="11" t="inlineStr">
        <is>
          <t>내역사업명</t>
        </is>
      </c>
      <c r="B30" s="10" t="n"/>
      <c r="C30" s="11" t="inlineStr">
        <is>
          <t>2025</t>
        </is>
      </c>
      <c r="D30" s="11" t="inlineStr">
        <is>
          <t>2026</t>
        </is>
      </c>
    </row>
    <row r="31" ht="17" customHeight="1">
      <c r="A31" s="18" t="inlineStr">
        <is>
          <t>112시스템운영</t>
        </is>
      </c>
      <c r="B31" s="10" t="n"/>
      <c r="C31" s="29" t="n"/>
      <c r="D31" s="19" t="n">
        <v>19471</v>
      </c>
      <c r="E31" s="19" t="n">
        <v>21370.9</v>
      </c>
    </row>
    <row r="32" ht="17" customHeight="1">
      <c r="A32" s="8" t="inlineStr">
        <is>
          <t>(정보화)</t>
        </is>
      </c>
      <c r="B32" s="10" t="n"/>
      <c r="C32" s="30" t="n"/>
      <c r="D32" s="30" t="n"/>
      <c r="E32" s="12" t="n">
        <v>1.1</v>
      </c>
    </row>
    <row r="33" ht="16" customHeight="1">
      <c r="A33" s="4" t="inlineStr">
        <is>
          <t>■ 사업관리자 (1건)</t>
        </is>
      </c>
    </row>
    <row r="34" ht="16" customHeight="1">
      <c r="A34" s="11" t="inlineStr">
        <is>
          <t>내역사업명</t>
        </is>
      </c>
      <c r="B34" s="11" t="inlineStr">
        <is>
          <t>소관부서</t>
        </is>
      </c>
      <c r="C34" s="11" t="inlineStr">
        <is>
          <t>시행기관</t>
        </is>
      </c>
      <c r="D34" s="11" t="inlineStr">
        <is>
          <t>담당자</t>
        </is>
      </c>
      <c r="E34" s="11" t="inlineStr">
        <is>
          <t>연락처</t>
        </is>
      </c>
    </row>
    <row r="35" ht="16" customHeight="1">
      <c r="A35" s="20" t="inlineStr">
        <is>
          <t>112시스템운영</t>
        </is>
      </c>
      <c r="B35" s="20" t="inlineStr">
        <is>
          <t>범죄예방대응국</t>
        </is>
      </c>
      <c r="C35" s="20" t="inlineStr"/>
      <c r="D35" s="20" t="inlineStr"/>
      <c r="E35" s="20" t="inlineStr"/>
    </row>
    <row r="36" ht="16" customHeight="1">
      <c r="A36" s="4" t="inlineStr">
        <is>
          <t>■ 사업연혁 (7건)</t>
        </is>
      </c>
    </row>
    <row r="37" ht="15" customHeight="1">
      <c r="A37" s="11" t="inlineStr">
        <is>
          <t>연도</t>
        </is>
      </c>
      <c r="B37" s="11" t="inlineStr">
        <is>
          <t>주요 내용</t>
        </is>
      </c>
      <c r="C37" s="9" t="n"/>
      <c r="D37" s="9" t="n"/>
      <c r="E37" s="10" t="n"/>
    </row>
    <row r="38" ht="16" customHeight="1">
      <c r="A38" s="24" t="n">
        <v>2022</v>
      </c>
      <c r="B38" s="25" t="inlineStr">
        <is>
          <t>112시스템 지능화, 112시스템 개선 및 유지보수 순찰차 캠 구축(77개署)</t>
        </is>
      </c>
      <c r="C38" s="9" t="n"/>
      <c r="D38" s="9" t="n"/>
      <c r="E38" s="10" t="n"/>
    </row>
    <row r="39" ht="16" customHeight="1">
      <c r="A39" s="26" t="n">
        <v>2023</v>
      </c>
      <c r="B39" s="27" t="inlineStr">
        <is>
          <t>112시스템 지능화, 112시스템 개선 및 유지보수 순찰차 캠 구축(87署)</t>
        </is>
      </c>
      <c r="C39" s="9" t="n"/>
      <c r="D39" s="9" t="n"/>
      <c r="E39" s="10" t="n"/>
    </row>
    <row r="40" ht="16" customHeight="1">
      <c r="A40" s="24" t="n">
        <v>2024</v>
      </c>
      <c r="B40" s="25" t="inlineStr">
        <is>
          <t>112시스템 고도화, 112시스템 개선 및 유지보수 순찰차 캠 구축(41署)</t>
        </is>
      </c>
      <c r="C40" s="9" t="n"/>
      <c r="D40" s="9" t="n"/>
      <c r="E40" s="10" t="n"/>
    </row>
    <row r="41" ht="16" customHeight="1">
      <c r="A41" s="26" t="n">
        <v>2025</v>
      </c>
      <c r="B41" s="27" t="inlineStr">
        <is>
          <t>112시스템 고도화, 112시스템 개선 및 유지보수 순찰차캠 저장지스템 구축</t>
        </is>
      </c>
      <c r="C41" s="9" t="n"/>
      <c r="D41" s="9" t="n"/>
      <c r="E41" s="10" t="n"/>
    </row>
    <row r="42" ht="39" customHeight="1">
      <c r="A42" s="24" t="n">
        <v>2022</v>
      </c>
      <c r="B42" s="25" t="inlineStr">
        <is>
          <t>&lt;이월&gt; 112지능화 사업 지연에 따른 2,139백만원 이월 / ’23.2.1.字 집행완료 ※조달청 일반경쟁 유찰(3회)에 따른 재공고로 계약 일정 지연, ’23.2.1.字 집행완료 &lt;불용&gt; 사업별 낙찰차액, 집행잔액 등 231백만원 불용</t>
        </is>
      </c>
      <c r="C42" s="9" t="n"/>
      <c r="D42" s="9" t="n"/>
      <c r="E42" s="10" t="n"/>
    </row>
    <row r="43" ht="26" customHeight="1">
      <c r="A43" s="26" t="n">
        <v>2023</v>
      </c>
      <c r="B43" s="27" t="inlineStr">
        <is>
          <t>&lt;이월&gt; 112지능화 사업 지연에 따른 1,048백만원 이월 / ’24.3.29.字 집행완료 &lt;불용&gt; 사업별 낙찰차액, 집행잔액 등 1,414백만원 불용</t>
        </is>
      </c>
      <c r="C43" s="9" t="n"/>
      <c r="D43" s="9" t="n"/>
      <c r="E43" s="10" t="n"/>
    </row>
    <row r="44" ht="16" customHeight="1">
      <c r="A44" s="24" t="n">
        <v>2024</v>
      </c>
      <c r="B44" s="25" t="inlineStr">
        <is>
          <t>&lt;불용&gt; 사업별 낙찰차액, 집행잔액 등 1,098백만원 불용</t>
        </is>
      </c>
      <c r="C44" s="9" t="n"/>
      <c r="D44" s="9" t="n"/>
      <c r="E44" s="10" t="n"/>
    </row>
    <row r="45" ht="16" customHeight="1">
      <c r="A45" s="4" t="inlineStr">
        <is>
          <t>■ 효과성</t>
        </is>
      </c>
    </row>
    <row r="46" ht="156" customHeight="1">
      <c r="A46" s="17" t="inlineStr">
        <is>
          <t>□사업영향, 산출물 성과지표 등
①2022~2026년도 성과계획서 상 성과지표 및 최근 5년간 성과 달성도
성과지표
구분
2022
2023
2024
2025
2026
2026 목표치 
산출근거
측정산식
(또는 측정방법)
자료수집방법
(또는 자료출처)
112긴급신고
(단위:초)
목표
351
349
347
343
340
’22년∼’24년 평균
목표치(2초)보다 
200% 높게 설정 
4초 단축한 343초로,
’26년 목표치는 
이보다 3초 단축한
340초로 설정
(∑Code0,1
신고 
현장대응시간)
÷ Code0,1 신고 
접수건수
112시스템 
산출
실적
351
349
347
-
-
달성도
100
100
100
-
-
②성과지표 이외의 연도별 사업추진 경과 및 실적
2022
112시스템 지능화, 112시스템 개선 및 유지보수 순찰차 캠 구축(77개署)
2023
112시스템 지능화, 112시스템 개선 및 유지보수 순찰차 캠 구축(87署)
2024
112시스템 고도화, 112시스템 개선</t>
        </is>
      </c>
      <c r="B46" s="9" t="n"/>
      <c r="C46" s="9" t="n"/>
      <c r="D46" s="9" t="n"/>
      <c r="E46" s="10" t="n"/>
    </row>
    <row r="47" ht="13" customHeight="1">
      <c r="A47" s="28" t="inlineStr">
        <is>
          <t>출력일: 2026-03-23  |  KAIB 파이프라인 자동 생성  |  사업코드: 1132-511</t>
        </is>
      </c>
    </row>
  </sheetData>
  <mergeCells count="36">
    <mergeCell ref="A31:B31"/>
    <mergeCell ref="B9:E9"/>
    <mergeCell ref="A30:B30"/>
    <mergeCell ref="B40:E40"/>
    <mergeCell ref="D1:E1"/>
    <mergeCell ref="B15:E15"/>
    <mergeCell ref="A45:E45"/>
    <mergeCell ref="A36:E36"/>
    <mergeCell ref="B20:E20"/>
    <mergeCell ref="B41:E41"/>
    <mergeCell ref="A16:E16"/>
    <mergeCell ref="A46:E46"/>
    <mergeCell ref="A3:E3"/>
    <mergeCell ref="A12:E12"/>
    <mergeCell ref="B27:E27"/>
    <mergeCell ref="A26:E26"/>
    <mergeCell ref="A2:E2"/>
    <mergeCell ref="B43:E43"/>
    <mergeCell ref="B21:E21"/>
    <mergeCell ref="A33:E33"/>
    <mergeCell ref="A32:B32"/>
    <mergeCell ref="B39:E39"/>
    <mergeCell ref="B11:E11"/>
    <mergeCell ref="A47:E47"/>
    <mergeCell ref="A22:E22"/>
    <mergeCell ref="B42:E42"/>
    <mergeCell ref="B14:E14"/>
    <mergeCell ref="A29:E29"/>
    <mergeCell ref="A1:C1"/>
    <mergeCell ref="B13:E13"/>
    <mergeCell ref="B38:E38"/>
    <mergeCell ref="B44:E44"/>
    <mergeCell ref="B19:E19"/>
    <mergeCell ref="B37:E37"/>
    <mergeCell ref="B10:E10"/>
    <mergeCell ref="B28:E28"/>
  </mergeCells>
  <pageMargins left="0.59" right="0.39" top="0.75" bottom="0.75" header="0.31" footer="0.31"/>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2026-03-23T04:18:49Z</dcterms:created>
  <dcterms:modified xmlns:dcterms="http://purl.org/dc/terms/" xmlns:xsi="http://www.w3.org/2001/XMLSchema-instance" xsi:type="dcterms:W3CDTF">2026-03-23T04:18:49Z</dcterms:modified>
</cp:coreProperties>
</file>